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770"/>
  </bookViews>
  <sheets>
    <sheet name="CONFIGURACION" sheetId="1" r:id="rId1"/>
    <sheet name="MATERIALES" sheetId="2" r:id="rId2"/>
    <sheet name="RECETAS" sheetId="3" r:id="rId3"/>
    <sheet name="PRODUCTOS" sheetId="4" r:id="rId4"/>
    <sheet name="VENTAS" sheetId="5" r:id="rId5"/>
    <sheet name="MOVIMIENT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<sst xmlns="http://schemas.openxmlformats.org/spreadsheetml/2006/main" count="402" uniqueCount="255">
  <si>
    <t>PAINT PRINT -- CONFIGURACION DEL SISTEMA</t>
  </si>
  <si>
    <t>Modifica solo los valores en columna B. Todo el sistema se actualiza automaticamente.</t>
  </si>
  <si>
    <t>PARAMETRO</t>
  </si>
  <si>
    <t>VALOR</t>
  </si>
  <si>
    <t>DESCRIPCION</t>
  </si>
  <si>
    <t>Valor hora de trabajo $</t>
  </si>
  <si>
    <t>CLP por hora. Cambia aqui y todos los costos se actualizan.</t>
  </si>
  <si>
    <t>Margen minimo %</t>
  </si>
  <si>
    <t>30% -- Precio mas bajo posible. Por debajo de este precio pierdes.</t>
  </si>
  <si>
    <t>Margen recomendado %</t>
  </si>
  <si>
    <t>55% -- Precio justo. Cubre todo y genera utilidad real.</t>
  </si>
  <si>
    <t>Margen ideal %</t>
  </si>
  <si>
    <t>70% -- Precio premium. Para productos de alta demanda o exclusivos.</t>
  </si>
  <si>
    <t>Gastos fijos % sobre costo</t>
  </si>
  <si>
    <t>15% -- Electricidad, desgaste maquinas, internet, etc.</t>
  </si>
  <si>
    <t>Moneda</t>
  </si>
  <si>
    <t>CLP</t>
  </si>
  <si>
    <t>Peso chileno. Todos los precios y costos en CLP.</t>
  </si>
  <si>
    <t>LISTAS DE REFERENCIA -- uso interno del sistema (no borrar)</t>
  </si>
  <si>
    <t>UNIDAD_COMPRA</t>
  </si>
  <si>
    <t>UNIDAD_CONSUMO</t>
  </si>
  <si>
    <t>CATEGORIA</t>
  </si>
  <si>
    <t>ESTADO_PEDIDO</t>
  </si>
  <si>
    <t>TIPO_MOV</t>
  </si>
  <si>
    <t>CANAL_VENTA</t>
  </si>
  <si>
    <t>UNIDAD_VENTA</t>
  </si>
  <si>
    <t/>
  </si>
  <si>
    <t>pack</t>
  </si>
  <si>
    <t>unidad</t>
  </si>
  <si>
    <t>Papel y cartulina</t>
  </si>
  <si>
    <t>Cotizado</t>
  </si>
  <si>
    <t>ENTRADA</t>
  </si>
  <si>
    <t>Instagram</t>
  </si>
  <si>
    <t>pieza</t>
  </si>
  <si>
    <t>metro</t>
  </si>
  <si>
    <t>hoja</t>
  </si>
  <si>
    <t>Vinil</t>
  </si>
  <si>
    <t>Aprobado</t>
  </si>
  <si>
    <t>SALIDA</t>
  </si>
  <si>
    <t>WhatsApp</t>
  </si>
  <si>
    <t>set 10u</t>
  </si>
  <si>
    <t>litro</t>
  </si>
  <si>
    <t>Tinta e insumos</t>
  </si>
  <si>
    <t>En produccion</t>
  </si>
  <si>
    <t>MERMA</t>
  </si>
  <si>
    <t>Referido</t>
  </si>
  <si>
    <t>set 20u</t>
  </si>
  <si>
    <t>rollo</t>
  </si>
  <si>
    <t>centimetro</t>
  </si>
  <si>
    <t>Adhesivos</t>
  </si>
  <si>
    <t>Entregado</t>
  </si>
  <si>
    <t>AJUSTE</t>
  </si>
  <si>
    <t>Directo</t>
  </si>
  <si>
    <t>set 50u</t>
  </si>
  <si>
    <t>frasco</t>
  </si>
  <si>
    <t>cm2</t>
  </si>
  <si>
    <t>Gran formato</t>
  </si>
  <si>
    <t>Pagado</t>
  </si>
  <si>
    <t>Feria</t>
  </si>
  <si>
    <t>set 100u</t>
  </si>
  <si>
    <t>caja</t>
  </si>
  <si>
    <t>ml</t>
  </si>
  <si>
    <t>Textil</t>
  </si>
  <si>
    <t>Archivado</t>
  </si>
  <si>
    <t>TikTok</t>
  </si>
  <si>
    <t>gramo</t>
  </si>
  <si>
    <t>Madera y plastico</t>
  </si>
  <si>
    <t>Otro</t>
  </si>
  <si>
    <t>par</t>
  </si>
  <si>
    <t>uso</t>
  </si>
  <si>
    <t>Otros</t>
  </si>
  <si>
    <t>Kit</t>
  </si>
  <si>
    <t>set</t>
  </si>
  <si>
    <t>saco</t>
  </si>
  <si>
    <t>resma</t>
  </si>
  <si>
    <t>PAINT PRINT -- CONTROL DE MATERIALES E INVENTARIO</t>
  </si>
  <si>
    <t>AZUL = Ingresa tu  |  VERDE = Calculado automatico  |  Actualiza D y H cada vez que compres materiales</t>
  </si>
  <si>
    <t>EQUIV. CONSUMO = cuantas unidades de consumo trae cada unidad de compra (ej: 1 pack = 20 hojas -&gt; 20)</t>
  </si>
  <si>
    <t>ID</t>
  </si>
  <si>
    <t>MATERIAL</t>
  </si>
  <si>
    <t>UNID. COMPRA</t>
  </si>
  <si>
    <t>EQUIV. CONSUMO</t>
  </si>
  <si>
    <t>UNID. CONSUMO</t>
  </si>
  <si>
    <t>CANT. COMPRADA</t>
  </si>
  <si>
    <t>COSTO TOTAL $</t>
  </si>
  <si>
    <t>COSTO / UNID $</t>
  </si>
  <si>
    <t>STOCK INICIAL</t>
  </si>
  <si>
    <t>ENTRADAS</t>
  </si>
  <si>
    <t>SALIDAS</t>
  </si>
  <si>
    <t>STOCK ACTUAL</t>
  </si>
  <si>
    <t>STOCK MINIMO</t>
  </si>
  <si>
    <t>ALERTA</t>
  </si>
  <si>
    <t>VALOR INV $</t>
  </si>
  <si>
    <t>PROVEEDOR</t>
  </si>
  <si>
    <t>FECHA COMPRA</t>
  </si>
  <si>
    <t>MP-001</t>
  </si>
  <si>
    <t>Papel fotografico 260g</t>
  </si>
  <si>
    <t>Papeleria Central</t>
  </si>
  <si>
    <t>MP-002</t>
  </si>
  <si>
    <t>Papel fotografico 180g</t>
  </si>
  <si>
    <t>MP-003</t>
  </si>
  <si>
    <t>Vinil imprimible (pack 20u)</t>
  </si>
  <si>
    <t>Insumos Graficos</t>
  </si>
  <si>
    <t>MP-004</t>
  </si>
  <si>
    <t>Vinil textil por metro</t>
  </si>
  <si>
    <t>Textiles Graficos</t>
  </si>
  <si>
    <t>MP-005</t>
  </si>
  <si>
    <t>Papel adhesivo</t>
  </si>
  <si>
    <t>MP-006</t>
  </si>
  <si>
    <t>Cartulina opalina</t>
  </si>
  <si>
    <t>MP-007</t>
  </si>
  <si>
    <t>Pegamento</t>
  </si>
  <si>
    <t>Ferreteria Local</t>
  </si>
  <si>
    <t>MP-008</t>
  </si>
  <si>
    <t>Palitos para toppers</t>
  </si>
  <si>
    <t>Cotillon Center</t>
  </si>
  <si>
    <t>MP-009</t>
  </si>
  <si>
    <t>Tinta Epson (set completo)</t>
  </si>
  <si>
    <t>Epson Chile</t>
  </si>
  <si>
    <t>MP-010</t>
  </si>
  <si>
    <t>Lona para pendones</t>
  </si>
  <si>
    <t>Imprenta Mayorista</t>
  </si>
  <si>
    <t>PAINT PRINT -- RECETAS DE PRODUCTOS</t>
  </si>
  <si>
    <t>Selecciona producto y material desde las listas. Ingresa solo la CANTIDAD USADA. El costo se calcula automaticamente.</t>
  </si>
  <si>
    <t>El nombre del producto en columna B debe existir exactamente igual en la hoja PRODUCTOS.</t>
  </si>
  <si>
    <t>ID RECETA</t>
  </si>
  <si>
    <t>PRODUCTO</t>
  </si>
  <si>
    <t>ID MATERIAL</t>
  </si>
  <si>
    <t>CANT. USADA</t>
  </si>
  <si>
    <t>SUBTOTAL $</t>
  </si>
  <si>
    <t>NOTA</t>
  </si>
  <si>
    <t>R-TOP-01</t>
  </si>
  <si>
    <t>Topper personalizado</t>
  </si>
  <si>
    <t>Media hoja 260g por topper</t>
  </si>
  <si>
    <t>R-TOP-02</t>
  </si>
  <si>
    <t>Pegamento para base</t>
  </si>
  <si>
    <t>R-TOP-03</t>
  </si>
  <si>
    <t>2 palitos por topper</t>
  </si>
  <si>
    <t>R-TOP-04</t>
  </si>
  <si>
    <t>Impresion color completa</t>
  </si>
  <si>
    <t>R-TAR-01</t>
  </si>
  <si>
    <t>Tarjetas presentacion</t>
  </si>
  <si>
    <t>9 hojas para 100 tarjetas</t>
  </si>
  <si>
    <t>R-TAR-02</t>
  </si>
  <si>
    <t>Impresion doble cara</t>
  </si>
  <si>
    <t>R-POL-01</t>
  </si>
  <si>
    <t>Polera sublimada</t>
  </si>
  <si>
    <t>60 cm vinil textil por polera</t>
  </si>
  <si>
    <t>R-POL-02</t>
  </si>
  <si>
    <t>Impresion transfer</t>
  </si>
  <si>
    <t>R-STI-01</t>
  </si>
  <si>
    <t>Sticker personalizado</t>
  </si>
  <si>
    <t>1 lamina vinil por set 20u</t>
  </si>
  <si>
    <t>R-STI-02</t>
  </si>
  <si>
    <t>Impresion a color</t>
  </si>
  <si>
    <t>R-PEN-01</t>
  </si>
  <si>
    <t>Pendon publicitario</t>
  </si>
  <si>
    <t>9600 cm2 por pendon 60x160</t>
  </si>
  <si>
    <t>R-PEN-02</t>
  </si>
  <si>
    <t>Impresion gran formato</t>
  </si>
  <si>
    <t>R-CAJ-01</t>
  </si>
  <si>
    <t>Caja personalizada</t>
  </si>
  <si>
    <t>2 hojas cartulina opalina</t>
  </si>
  <si>
    <t>R-CAJ-02</t>
  </si>
  <si>
    <t>Pegamento de armado</t>
  </si>
  <si>
    <t>R-CAJ-03</t>
  </si>
  <si>
    <t>Impresion diseno</t>
  </si>
  <si>
    <t>R-ETI-01</t>
  </si>
  <si>
    <t>Etiqueta adhesiva</t>
  </si>
  <si>
    <t>2 hojas papel adhesivo</t>
  </si>
  <si>
    <t>R-ETI-02</t>
  </si>
  <si>
    <t>Impresion etiquetas</t>
  </si>
  <si>
    <t>R-FLY-01</t>
  </si>
  <si>
    <t>Flyer volante</t>
  </si>
  <si>
    <t>1 hoja 180g por flyer</t>
  </si>
  <si>
    <t>R-FLY-02</t>
  </si>
  <si>
    <t>R-VIN-01</t>
  </si>
  <si>
    <t>Vinil personalizado</t>
  </si>
  <si>
    <t>1 lamina vinil imprimible</t>
  </si>
  <si>
    <t>R-VIN-02</t>
  </si>
  <si>
    <t>Impresion vinil</t>
  </si>
  <si>
    <t>PAINT PRINT -- CATALOGO Y COSTOS DE PRODUCTOS</t>
  </si>
  <si>
    <t>El costo de materiales viene automaticamente de RECETAS. Ingresa solo los TIEMPOS y el PRECIO ACTUAL.</t>
  </si>
  <si>
    <t>PRECIO MINIMO(30%) / PRECIO JUSTO(55%) / PRECIO IDEAL(70%) se calculan desde CONFIGURACION automaticamente.</t>
  </si>
  <si>
    <t>CODIGO</t>
  </si>
  <si>
    <t>UNID. VENTA</t>
  </si>
  <si>
    <t>COSTO MAT $</t>
  </si>
  <si>
    <t>MIN DIS</t>
  </si>
  <si>
    <t>MIN IMP</t>
  </si>
  <si>
    <t>MIN COR</t>
  </si>
  <si>
    <t>MIN ARM</t>
  </si>
  <si>
    <t>MIN TOTAL</t>
  </si>
  <si>
    <t>$/HORA</t>
  </si>
  <si>
    <t>COSTO MO $</t>
  </si>
  <si>
    <t>% GF</t>
  </si>
  <si>
    <t>GASTOS FIJ $</t>
  </si>
  <si>
    <t>PRECIO MIN $</t>
  </si>
  <si>
    <t>PRECIO JUSTO $</t>
  </si>
  <si>
    <t>PRECIO IDEAL $</t>
  </si>
  <si>
    <t>PRECIO ACTUAL $</t>
  </si>
  <si>
    <t>MARGEN ACT %</t>
  </si>
  <si>
    <t>ESTADO</t>
  </si>
  <si>
    <t>PP-001</t>
  </si>
  <si>
    <t>Toppers para eventos y fiestas</t>
  </si>
  <si>
    <t>PP-002</t>
  </si>
  <si>
    <t>Topper premium iluminado</t>
  </si>
  <si>
    <t>Topper con estructura y luz LED</t>
  </si>
  <si>
    <t>PP-003</t>
  </si>
  <si>
    <t>Set de 100 tarjetas impresas</t>
  </si>
  <si>
    <t>PP-004</t>
  </si>
  <si>
    <t>Impresion digital por unidad</t>
  </si>
  <si>
    <t>PP-005</t>
  </si>
  <si>
    <t>Set 20 unidades personalizadas</t>
  </si>
  <si>
    <t>PP-006</t>
  </si>
  <si>
    <t>Set 20 stickers con diseno</t>
  </si>
  <si>
    <t>PP-007</t>
  </si>
  <si>
    <t>Vinil cortado con diseno</t>
  </si>
  <si>
    <t>PP-008</t>
  </si>
  <si>
    <t>Polera con diseno sublimado</t>
  </si>
  <si>
    <t>PP-009</t>
  </si>
  <si>
    <t>Pendon 60x160cm impreso</t>
  </si>
  <si>
    <t>PP-010</t>
  </si>
  <si>
    <t>Caja troquelada con diseno</t>
  </si>
  <si>
    <t>PAINT PRINT -- REGISTRO DE VENTAS Y PEDIDOS</t>
  </si>
  <si>
    <t>Ingresa: Fecha, Cliente, Producto, Cantidad, Precio cobrado, Minutos trabajados. El sistema calcula lo demas.</t>
  </si>
  <si>
    <t>Si el MARGEN es negativo o rojo -- el precio cobrado es menor que tu costo real.</t>
  </si>
  <si>
    <t>N PEDIDO</t>
  </si>
  <si>
    <t>FECHA</t>
  </si>
  <si>
    <t>CLIENTE</t>
  </si>
  <si>
    <t>CANT.</t>
  </si>
  <si>
    <t>PRECIO COBRADO $</t>
  </si>
  <si>
    <t>TOTAL VENTA $</t>
  </si>
  <si>
    <t>COSTO UNIT $</t>
  </si>
  <si>
    <t>UTILIDAD $</t>
  </si>
  <si>
    <t>MARGEN %</t>
  </si>
  <si>
    <t>MIN TRAB.</t>
  </si>
  <si>
    <t>GANANCIA/HORA $</t>
  </si>
  <si>
    <t>CANAL</t>
  </si>
  <si>
    <t>OBSERVACIONES</t>
  </si>
  <si>
    <t>P-001</t>
  </si>
  <si>
    <t>Cliente Ejemplo</t>
  </si>
  <si>
    <t>Pedido de ejemplo -- reemplazar con pedidos reales</t>
  </si>
  <si>
    <t>P-002</t>
  </si>
  <si>
    <t>-- Agrega tu proximo pedido aqui --</t>
  </si>
  <si>
    <t>TOTALES DEL MES</t>
  </si>
  <si>
    <t>PAINT PRINT -- MOVIMIENTOS DE INVENTARIO</t>
  </si>
  <si>
    <t>Registra cada entrada de material (compra) y cada salida (produccion, merma). El stock en MATERIALES se actualiza automaticamente.</t>
  </si>
  <si>
    <t>TIPO: ENTRADA=compra  |  SALIDA=usado en produccion  |  MERMA=desperdicio  |  AJUSTE=correccion manual</t>
  </si>
  <si>
    <t>TIPO</t>
  </si>
  <si>
    <t>CANTIDAD</t>
  </si>
  <si>
    <t>UNIDAD</t>
  </si>
  <si>
    <t>COSTO/UNID $</t>
  </si>
  <si>
    <t>VALOR MOV $</t>
  </si>
  <si>
    <t>N PEDIDO REF</t>
  </si>
  <si>
    <t>Stock inicial al comenzar el sistema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</si>
</sst>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&quot;$&quot;#,##0.00"/>
    <numFmt numFmtId="180" formatCode="&quot;$&quot;#,##0"/>
    <numFmt numFmtId="181" formatCode="0.0%"/>
  </numFmts>
  <fonts count="27">
    <font>
      <sz val="11"/>
      <name val="Calibri"/>
      <charset val="134"/>
    </font>
    <font>
      <b/>
      <sz val="12"/>
      <color rgb="FFFFFFFF"/>
      <name val="Calibri"/>
      <charset val="134"/>
    </font>
    <font>
      <i/>
      <sz val="11"/>
      <color rgb="FF152035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i/>
      <sz val="11"/>
      <color rgb="FF0070C0"/>
      <name val="Calibri"/>
      <charset val="134"/>
    </font>
    <font>
      <i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152035"/>
        <bgColor indexed="64"/>
      </patternFill>
    </fill>
    <fill>
      <patternFill patternType="solid">
        <fgColor rgb="FFFAE1E1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D7E6FA"/>
        <bgColor indexed="64"/>
      </patternFill>
    </fill>
    <fill>
      <patternFill patternType="solid">
        <fgColor rgb="FFDAF5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AEBDC"/>
        <bgColor indexed="64"/>
      </patternFill>
    </fill>
    <fill>
      <patternFill patternType="solid">
        <fgColor rgb="FFFFF0E6"/>
        <bgColor indexed="64"/>
      </patternFill>
    </fill>
    <fill>
      <patternFill patternType="solid">
        <fgColor rgb="FFE1F5E1"/>
        <bgColor indexed="64"/>
      </patternFill>
    </fill>
    <fill>
      <patternFill patternType="solid">
        <fgColor rgb="FFF0FAEB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3C3C50"/>
        <bgColor indexed="64"/>
      </patternFill>
    </fill>
    <fill>
      <patternFill patternType="solid">
        <fgColor rgb="FFDCF0F0"/>
        <bgColor indexed="64"/>
      </patternFill>
    </fill>
    <fill>
      <patternFill patternType="solid">
        <fgColor rgb="FFF0FAF0"/>
        <bgColor indexed="64"/>
      </patternFill>
    </fill>
    <fill>
      <patternFill patternType="solid">
        <fgColor rgb="FFE1EBFA"/>
        <bgColor indexed="64"/>
      </patternFill>
    </fill>
    <fill>
      <patternFill patternType="solid">
        <fgColor rgb="FFEBF5FF"/>
        <bgColor indexed="64"/>
      </patternFill>
    </fill>
    <fill>
      <patternFill patternType="solid">
        <fgColor rgb="FFFFF8C8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24" borderId="5" applyNumberFormat="0" applyAlignment="0" applyProtection="0">
      <alignment vertical="center"/>
    </xf>
    <xf numFmtId="0" fontId="18" fillId="24" borderId="4" applyNumberFormat="0" applyAlignment="0" applyProtection="0">
      <alignment vertical="center"/>
    </xf>
    <xf numFmtId="0" fontId="19" fillId="2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</cellStyleXfs>
  <cellXfs count="58">
    <xf numFmtId="0" fontId="0" fillId="0" borderId="0" xfId="0" applyNumberFormat="1" applyFont="1" applyProtection="1"/>
    <xf numFmtId="0" fontId="1" fillId="2" borderId="0" xfId="0" applyNumberFormat="1" applyFont="1" applyFill="1" applyProtection="1"/>
    <xf numFmtId="0" fontId="0" fillId="2" borderId="0" xfId="0" applyNumberFormat="1" applyFont="1" applyFill="1" applyProtection="1"/>
    <xf numFmtId="0" fontId="2" fillId="3" borderId="0" xfId="0" applyNumberFormat="1" applyFont="1" applyFill="1" applyProtection="1"/>
    <xf numFmtId="0" fontId="0" fillId="3" borderId="0" xfId="0" applyNumberFormat="1" applyFont="1" applyFill="1" applyProtection="1"/>
    <xf numFmtId="0" fontId="2" fillId="4" borderId="0" xfId="0" applyNumberFormat="1" applyFont="1" applyFill="1" applyProtection="1"/>
    <xf numFmtId="0" fontId="0" fillId="4" borderId="0" xfId="0" applyNumberFormat="1" applyFont="1" applyFill="1" applyProtection="1"/>
    <xf numFmtId="0" fontId="3" fillId="2" borderId="0" xfId="0" applyNumberFormat="1" applyFont="1" applyFill="1" applyAlignment="1" applyProtection="1">
      <alignment horizontal="center" vertical="center" wrapText="1"/>
    </xf>
    <xf numFmtId="0" fontId="3" fillId="5" borderId="0" xfId="0" applyNumberFormat="1" applyFont="1" applyFill="1" applyAlignment="1" applyProtection="1">
      <alignment horizontal="center" vertical="center" wrapText="1"/>
    </xf>
    <xf numFmtId="0" fontId="3" fillId="6" borderId="0" xfId="0" applyNumberFormat="1" applyFont="1" applyFill="1" applyAlignment="1" applyProtection="1">
      <alignment horizontal="center" vertical="center" wrapText="1"/>
    </xf>
    <xf numFmtId="178" fontId="0" fillId="7" borderId="0" xfId="0" applyNumberFormat="1" applyFont="1" applyFill="1" applyProtection="1"/>
    <xf numFmtId="0" fontId="0" fillId="7" borderId="0" xfId="0" applyNumberFormat="1" applyFont="1" applyFill="1" applyProtection="1"/>
    <xf numFmtId="0" fontId="0" fillId="8" borderId="0" xfId="0" applyNumberFormat="1" applyFont="1" applyFill="1" applyProtection="1"/>
    <xf numFmtId="179" fontId="0" fillId="8" borderId="0" xfId="0" applyNumberFormat="1" applyFont="1" applyFill="1" applyProtection="1"/>
    <xf numFmtId="180" fontId="0" fillId="8" borderId="0" xfId="0" applyNumberFormat="1" applyFont="1" applyFill="1" applyProtection="1"/>
    <xf numFmtId="178" fontId="0" fillId="9" borderId="0" xfId="0" applyNumberFormat="1" applyFont="1" applyFill="1" applyProtection="1"/>
    <xf numFmtId="0" fontId="0" fillId="9" borderId="0" xfId="0" applyNumberFormat="1" applyFont="1" applyFill="1" applyProtection="1"/>
    <xf numFmtId="179" fontId="0" fillId="9" borderId="0" xfId="0" applyNumberFormat="1" applyFont="1" applyFill="1" applyProtection="1"/>
    <xf numFmtId="180" fontId="0" fillId="9" borderId="0" xfId="0" applyNumberFormat="1" applyFont="1" applyFill="1" applyProtection="1"/>
    <xf numFmtId="0" fontId="2" fillId="10" borderId="0" xfId="0" applyNumberFormat="1" applyFont="1" applyFill="1" applyProtection="1"/>
    <xf numFmtId="0" fontId="0" fillId="10" borderId="0" xfId="0" applyNumberFormat="1" applyFont="1" applyFill="1" applyProtection="1"/>
    <xf numFmtId="0" fontId="2" fillId="11" borderId="0" xfId="0" applyNumberFormat="1" applyFont="1" applyFill="1" applyProtection="1"/>
    <xf numFmtId="0" fontId="0" fillId="11" borderId="0" xfId="0" applyNumberFormat="1" applyFont="1" applyFill="1" applyProtection="1"/>
    <xf numFmtId="180" fontId="0" fillId="7" borderId="0" xfId="0" applyNumberFormat="1" applyFont="1" applyFill="1" applyProtection="1"/>
    <xf numFmtId="180" fontId="4" fillId="8" borderId="0" xfId="0" applyNumberFormat="1" applyFont="1" applyFill="1" applyProtection="1"/>
    <xf numFmtId="0" fontId="5" fillId="9" borderId="0" xfId="0" applyNumberFormat="1" applyFont="1" applyFill="1" applyProtection="1"/>
    <xf numFmtId="181" fontId="4" fillId="8" borderId="0" xfId="0" applyNumberFormat="1" applyFont="1" applyFill="1" applyProtection="1"/>
    <xf numFmtId="181" fontId="0" fillId="9" borderId="0" xfId="0" applyNumberFormat="1" applyFont="1" applyFill="1" applyProtection="1"/>
    <xf numFmtId="0" fontId="6" fillId="7" borderId="0" xfId="0" applyNumberFormat="1" applyFont="1" applyFill="1" applyProtection="1"/>
    <xf numFmtId="0" fontId="3" fillId="2" borderId="0" xfId="0" applyNumberFormat="1" applyFont="1" applyFill="1" applyProtection="1"/>
    <xf numFmtId="180" fontId="3" fillId="2" borderId="0" xfId="0" applyNumberFormat="1" applyFont="1" applyFill="1" applyProtection="1"/>
    <xf numFmtId="181" fontId="3" fillId="2" borderId="0" xfId="0" applyNumberFormat="1" applyFont="1" applyFill="1" applyProtection="1"/>
    <xf numFmtId="0" fontId="2" fillId="12" borderId="0" xfId="0" applyNumberFormat="1" applyFont="1" applyFill="1" applyProtection="1"/>
    <xf numFmtId="0" fontId="0" fillId="12" borderId="0" xfId="0" applyNumberFormat="1" applyFont="1" applyFill="1" applyProtection="1"/>
    <xf numFmtId="0" fontId="2" fillId="13" borderId="0" xfId="0" applyNumberFormat="1" applyFont="1" applyFill="1" applyProtection="1"/>
    <xf numFmtId="0" fontId="0" fillId="13" borderId="0" xfId="0" applyNumberFormat="1" applyFont="1" applyFill="1" applyProtection="1"/>
    <xf numFmtId="9" fontId="0" fillId="8" borderId="0" xfId="0" applyNumberFormat="1" applyFont="1" applyFill="1" applyProtection="1"/>
    <xf numFmtId="9" fontId="0" fillId="9" borderId="0" xfId="0" applyNumberFormat="1" applyFont="1" applyFill="1" applyProtection="1"/>
    <xf numFmtId="180" fontId="4" fillId="7" borderId="0" xfId="0" applyNumberFormat="1" applyFont="1" applyFill="1" applyProtection="1"/>
    <xf numFmtId="0" fontId="3" fillId="14" borderId="0" xfId="0" applyNumberFormat="1" applyFont="1" applyFill="1" applyAlignment="1" applyProtection="1">
      <alignment horizontal="center" vertical="center" wrapText="1"/>
    </xf>
    <xf numFmtId="0" fontId="3" fillId="15" borderId="0" xfId="0" applyNumberFormat="1" applyFont="1" applyFill="1" applyAlignment="1" applyProtection="1">
      <alignment horizontal="center" vertical="center" wrapText="1"/>
    </xf>
    <xf numFmtId="180" fontId="4" fillId="9" borderId="0" xfId="0" applyNumberFormat="1" applyFont="1" applyFill="1" applyProtection="1"/>
    <xf numFmtId="181" fontId="4" fillId="9" borderId="0" xfId="0" applyNumberFormat="1" applyFont="1" applyFill="1" applyProtection="1"/>
    <xf numFmtId="0" fontId="2" fillId="16" borderId="0" xfId="0" applyNumberFormat="1" applyFont="1" applyFill="1" applyProtection="1"/>
    <xf numFmtId="0" fontId="0" fillId="16" borderId="0" xfId="0" applyNumberFormat="1" applyFont="1" applyFill="1" applyProtection="1"/>
    <xf numFmtId="0" fontId="2" fillId="17" borderId="0" xfId="0" applyNumberFormat="1" applyFont="1" applyFill="1" applyProtection="1"/>
    <xf numFmtId="0" fontId="0" fillId="17" borderId="0" xfId="0" applyNumberFormat="1" applyFont="1" applyFill="1" applyProtection="1"/>
    <xf numFmtId="0" fontId="6" fillId="0" borderId="0" xfId="0" applyNumberFormat="1" applyFont="1" applyProtection="1"/>
    <xf numFmtId="0" fontId="6" fillId="9" borderId="0" xfId="0" applyNumberFormat="1" applyFont="1" applyFill="1" applyProtection="1"/>
    <xf numFmtId="0" fontId="2" fillId="18" borderId="0" xfId="0" applyNumberFormat="1" applyFont="1" applyFill="1" applyProtection="1"/>
    <xf numFmtId="0" fontId="0" fillId="18" borderId="0" xfId="0" applyNumberFormat="1" applyFont="1" applyFill="1" applyProtection="1"/>
    <xf numFmtId="0" fontId="2" fillId="19" borderId="0" xfId="0" applyNumberFormat="1" applyFont="1" applyFill="1" applyProtection="1"/>
    <xf numFmtId="0" fontId="0" fillId="19" borderId="0" xfId="0" applyNumberFormat="1" applyFont="1" applyFill="1" applyProtection="1"/>
    <xf numFmtId="0" fontId="2" fillId="20" borderId="0" xfId="0" applyNumberFormat="1" applyFont="1" applyFill="1" applyProtection="1"/>
    <xf numFmtId="0" fontId="0" fillId="20" borderId="0" xfId="0" applyNumberFormat="1" applyFont="1" applyFill="1" applyProtection="1"/>
    <xf numFmtId="0" fontId="0" fillId="21" borderId="0" xfId="0" applyNumberFormat="1" applyFont="1" applyFill="1" applyProtection="1"/>
    <xf numFmtId="9" fontId="4" fillId="7" borderId="0" xfId="0" applyNumberFormat="1" applyFont="1" applyFill="1" applyProtection="1"/>
    <xf numFmtId="0" fontId="4" fillId="7" borderId="0" xfId="0" applyNumberFormat="1" applyFont="1" applyFill="1" applyProtection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48200"/>
  </sheetPr>
  <dimension ref="A1:H24"/>
  <sheetViews>
    <sheetView tabSelected="1" topLeftCell="A11" workbookViewId="0">
      <selection activeCell="C15" sqref="C15"/>
    </sheetView>
  </sheetViews>
  <sheetFormatPr defaultColWidth="9" defaultRowHeight="15" outlineLevelCol="7"/>
  <cols>
    <col min="1" max="1" width="28" customWidth="1"/>
    <col min="2" max="2" width="16" customWidth="1"/>
    <col min="3" max="3" width="38" customWidth="1"/>
    <col min="4" max="5" width="18" customWidth="1"/>
    <col min="6" max="7" width="14" customWidth="1"/>
    <col min="8" max="8" width="16" customWidth="1"/>
  </cols>
  <sheetData>
    <row r="1" ht="26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20" customHeight="1" spans="1:8">
      <c r="A2" s="53" t="s">
        <v>1</v>
      </c>
      <c r="B2" s="54"/>
      <c r="C2" s="54"/>
      <c r="D2" s="54"/>
      <c r="E2" s="54"/>
      <c r="F2" s="54"/>
      <c r="G2" s="54"/>
      <c r="H2" s="54"/>
    </row>
    <row r="4" ht="28" customHeight="1" spans="1:3">
      <c r="A4" s="7" t="s">
        <v>2</v>
      </c>
      <c r="B4" s="7" t="s">
        <v>3</v>
      </c>
      <c r="C4" s="7" t="s">
        <v>4</v>
      </c>
    </row>
    <row r="5" ht="18" customHeight="1" spans="1:3">
      <c r="A5" s="55" t="s">
        <v>5</v>
      </c>
      <c r="B5" s="38">
        <v>4000</v>
      </c>
      <c r="C5" s="55" t="s">
        <v>6</v>
      </c>
    </row>
    <row r="6" ht="18" customHeight="1" spans="1:3">
      <c r="A6" s="55" t="s">
        <v>7</v>
      </c>
      <c r="B6" s="56">
        <v>0.3</v>
      </c>
      <c r="C6" s="55" t="s">
        <v>8</v>
      </c>
    </row>
    <row r="7" ht="18" customHeight="1" spans="1:3">
      <c r="A7" s="55" t="s">
        <v>9</v>
      </c>
      <c r="B7" s="56">
        <v>0.55</v>
      </c>
      <c r="C7" s="55" t="s">
        <v>10</v>
      </c>
    </row>
    <row r="8" ht="18" customHeight="1" spans="1:3">
      <c r="A8" s="55" t="s">
        <v>11</v>
      </c>
      <c r="B8" s="56">
        <v>0.7</v>
      </c>
      <c r="C8" s="55" t="s">
        <v>12</v>
      </c>
    </row>
    <row r="9" ht="18" customHeight="1" spans="1:3">
      <c r="A9" s="55" t="s">
        <v>13</v>
      </c>
      <c r="B9" s="56">
        <v>0.15</v>
      </c>
      <c r="C9" s="55" t="s">
        <v>14</v>
      </c>
    </row>
    <row r="10" ht="18" customHeight="1" spans="1:3">
      <c r="A10" s="55" t="s">
        <v>15</v>
      </c>
      <c r="B10" s="57" t="s">
        <v>16</v>
      </c>
      <c r="C10" s="55" t="s">
        <v>17</v>
      </c>
    </row>
    <row r="12" ht="22" customHeight="1" spans="1:8">
      <c r="A12" s="29" t="s">
        <v>18</v>
      </c>
      <c r="B12" s="2"/>
      <c r="C12" s="2"/>
      <c r="D12" s="2"/>
      <c r="E12" s="2"/>
      <c r="F12" s="2"/>
      <c r="G12" s="2"/>
      <c r="H12" s="2"/>
    </row>
    <row r="13" ht="28" customHeight="1" spans="1:8">
      <c r="A13" s="8" t="s">
        <v>19</v>
      </c>
      <c r="B13" s="8" t="s">
        <v>20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</row>
    <row r="14" ht="16" customHeight="1" spans="1:7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</row>
    <row r="15" ht="16" customHeight="1" spans="1:7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  <c r="G15" t="s">
        <v>40</v>
      </c>
    </row>
    <row r="16" ht="16" customHeight="1" spans="1:7">
      <c r="A16" t="s">
        <v>41</v>
      </c>
      <c r="B16" t="s">
        <v>34</v>
      </c>
      <c r="C16" t="s">
        <v>42</v>
      </c>
      <c r="D16" t="s">
        <v>43</v>
      </c>
      <c r="E16" t="s">
        <v>44</v>
      </c>
      <c r="F16" t="s">
        <v>45</v>
      </c>
      <c r="G16" t="s">
        <v>46</v>
      </c>
    </row>
    <row r="17" ht="16" customHeight="1" spans="1:7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</row>
    <row r="18" ht="16" customHeight="1" spans="1:7">
      <c r="A18" t="s">
        <v>54</v>
      </c>
      <c r="B18" t="s">
        <v>55</v>
      </c>
      <c r="C18" t="s">
        <v>56</v>
      </c>
      <c r="D18" t="s">
        <v>57</v>
      </c>
      <c r="F18" t="s">
        <v>58</v>
      </c>
      <c r="G18" t="s">
        <v>59</v>
      </c>
    </row>
    <row r="19" ht="16" customHeight="1" spans="1:7">
      <c r="A19" t="s">
        <v>60</v>
      </c>
      <c r="B19" t="s">
        <v>61</v>
      </c>
      <c r="C19" t="s">
        <v>62</v>
      </c>
      <c r="D19" t="s">
        <v>63</v>
      </c>
      <c r="F19" t="s">
        <v>64</v>
      </c>
      <c r="G19" t="s">
        <v>34</v>
      </c>
    </row>
    <row r="20" ht="16" customHeight="1" spans="1:7">
      <c r="A20" t="s">
        <v>28</v>
      </c>
      <c r="B20" t="s">
        <v>65</v>
      </c>
      <c r="C20" t="s">
        <v>66</v>
      </c>
      <c r="F20" t="s">
        <v>67</v>
      </c>
      <c r="G20" t="s">
        <v>68</v>
      </c>
    </row>
    <row r="21" ht="16" customHeight="1" spans="1:7">
      <c r="A21" t="s">
        <v>35</v>
      </c>
      <c r="B21" t="s">
        <v>69</v>
      </c>
      <c r="C21" t="s">
        <v>70</v>
      </c>
      <c r="G21" t="s">
        <v>71</v>
      </c>
    </row>
    <row r="22" ht="16" customHeight="1" spans="1:2">
      <c r="A22" t="s">
        <v>72</v>
      </c>
      <c r="B22" t="s">
        <v>47</v>
      </c>
    </row>
    <row r="23" ht="16" customHeight="1" spans="1:1">
      <c r="A23" t="s">
        <v>73</v>
      </c>
    </row>
    <row r="24" ht="16" customHeight="1" spans="1:1">
      <c r="A24" t="s">
        <v>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AR14"/>
  <sheetViews>
    <sheetView topLeftCell="E1" workbookViewId="0">
      <pane ySplit="4" topLeftCell="A11" activePane="bottomLeft" state="frozen"/>
      <selection/>
      <selection pane="bottomLeft" activeCell="N5" sqref="N5"/>
    </sheetView>
  </sheetViews>
  <sheetFormatPr defaultColWidth="9" defaultRowHeight="15"/>
  <cols>
    <col min="1" max="1" width="8" customWidth="1"/>
    <col min="2" max="2" width="26" customWidth="1"/>
    <col min="3" max="3" width="18" customWidth="1"/>
    <col min="4" max="4" width="14" customWidth="1"/>
    <col min="5" max="5" width="16" customWidth="1"/>
    <col min="6" max="6" width="14" customWidth="1"/>
    <col min="7" max="7" width="12" customWidth="1"/>
    <col min="8" max="8" width="13" customWidth="1"/>
    <col min="9" max="9" width="14" customWidth="1"/>
    <col min="10" max="10" width="12" customWidth="1"/>
    <col min="11" max="12" width="10" customWidth="1"/>
    <col min="13" max="15" width="12" customWidth="1"/>
    <col min="16" max="16" width="15" customWidth="1"/>
    <col min="17" max="17" width="18" customWidth="1"/>
    <col min="18" max="18" width="13" customWidth="1"/>
  </cols>
  <sheetData>
    <row r="1" ht="26" customHeight="1" spans="1:44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20" customHeight="1" spans="1:44">
      <c r="A2" s="49" t="s">
        <v>76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</row>
    <row r="3" ht="20" customHeight="1" spans="1:44">
      <c r="A3" s="51" t="s">
        <v>77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</row>
    <row r="4" ht="38" customHeight="1" spans="1:44">
      <c r="A4" s="7" t="s">
        <v>78</v>
      </c>
      <c r="B4" s="7" t="s">
        <v>79</v>
      </c>
      <c r="C4" s="7" t="s">
        <v>21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9" t="s">
        <v>85</v>
      </c>
      <c r="J4" s="8" t="s">
        <v>86</v>
      </c>
      <c r="K4" s="9" t="s">
        <v>87</v>
      </c>
      <c r="L4" s="9" t="s">
        <v>88</v>
      </c>
      <c r="M4" s="9" t="s">
        <v>89</v>
      </c>
      <c r="N4" s="8" t="s">
        <v>90</v>
      </c>
      <c r="AO4" s="9" t="s">
        <v>91</v>
      </c>
      <c r="AP4" s="9" t="s">
        <v>92</v>
      </c>
      <c r="AQ4" s="7" t="s">
        <v>93</v>
      </c>
      <c r="AR4" s="7" t="s">
        <v>94</v>
      </c>
    </row>
    <row r="5" ht="18" customHeight="1" spans="1:44">
      <c r="A5" s="11" t="s">
        <v>95</v>
      </c>
      <c r="B5" s="11" t="s">
        <v>96</v>
      </c>
      <c r="C5" s="11" t="s">
        <v>29</v>
      </c>
      <c r="D5" s="11" t="s">
        <v>27</v>
      </c>
      <c r="E5" s="11">
        <v>20</v>
      </c>
      <c r="F5" s="11" t="s">
        <v>35</v>
      </c>
      <c r="G5" s="11">
        <v>1</v>
      </c>
      <c r="H5" s="23">
        <v>5000</v>
      </c>
      <c r="I5" s="13">
        <f t="shared" ref="I5:I14" si="0">IFERROR(H5/(G5*E5),0)</f>
        <v>250</v>
      </c>
      <c r="J5" s="11">
        <v>100</v>
      </c>
      <c r="K5" s="12">
        <f>IFERROR(SUMIFS(MOVIMIENTOS!$E:$E,MOVIMIENTOS!$C:$C,$A5,MOVIMIENTOS!$B:$B,"ENTRADA"),0)</f>
        <v>100</v>
      </c>
      <c r="L5" s="12">
        <f>IFERROR(SUMIFS(MOVIMIENTOS!$E:$E,MOVIMIENTOS!$C:$C,$A5,MOVIMIENTOS!$B:$B,"SALIDA")+SUMIFS(MOVIMIENTOS!$E:$E,MOVIMIENTOS!$C:$C,$A5,MOVIMIENTOS!$B:$B,"MERMA"),0)</f>
        <v>0</v>
      </c>
      <c r="M5" s="12">
        <f t="shared" ref="M5:M14" si="1">IFERROR(J5+K5-L5,0)</f>
        <v>200</v>
      </c>
      <c r="N5" s="11">
        <v>20</v>
      </c>
      <c r="O5" s="12" t="str">
        <f t="shared" ref="O5:O14" si="2">IF(M5&lt;=N5,"REPONER","OK")</f>
        <v>OK</v>
      </c>
      <c r="P5" s="14">
        <f t="shared" ref="P5:P14" si="3">IFERROR(M5*I5,0)</f>
        <v>50000</v>
      </c>
      <c r="AO5" s="12" t="str">
        <f t="shared" ref="AO5:AO14" si="4">IF(M5&lt;=N5,"REPONER","OK")</f>
        <v>OK</v>
      </c>
      <c r="AP5" s="14">
        <f t="shared" ref="AP5:AP14" si="5">IFERROR(M5*I5,0)</f>
        <v>50000</v>
      </c>
      <c r="AQ5" s="11" t="s">
        <v>97</v>
      </c>
      <c r="AR5" s="10">
        <v>46195</v>
      </c>
    </row>
    <row r="6" ht="18" customHeight="1" spans="1:44">
      <c r="A6" s="16" t="s">
        <v>98</v>
      </c>
      <c r="B6" s="16" t="s">
        <v>99</v>
      </c>
      <c r="C6" s="16" t="s">
        <v>29</v>
      </c>
      <c r="D6" s="16" t="s">
        <v>27</v>
      </c>
      <c r="E6" s="16">
        <v>50</v>
      </c>
      <c r="F6" s="16" t="s">
        <v>35</v>
      </c>
      <c r="G6" s="16">
        <v>1</v>
      </c>
      <c r="H6" s="18">
        <v>3500</v>
      </c>
      <c r="I6" s="17">
        <f t="shared" si="0"/>
        <v>70</v>
      </c>
      <c r="J6" s="16">
        <v>100</v>
      </c>
      <c r="K6" s="16">
        <f>IFERROR(SUMIFS(MOVIMIENTOS!$E:$E,MOVIMIENTOS!$C:$C,$A6,MOVIMIENTOS!$B:$B,"ENTRADA"),0)</f>
        <v>100</v>
      </c>
      <c r="L6" s="16">
        <f>IFERROR(SUMIFS(MOVIMIENTOS!$E:$E,MOVIMIENTOS!$C:$C,$A6,MOVIMIENTOS!$B:$B,"SALIDA")+SUMIFS(MOVIMIENTOS!$E:$E,MOVIMIENTOS!$C:$C,$A6,MOVIMIENTOS!$B:$B,"MERMA"),0)</f>
        <v>0</v>
      </c>
      <c r="M6" s="16">
        <f t="shared" si="1"/>
        <v>200</v>
      </c>
      <c r="N6" s="16">
        <v>20</v>
      </c>
      <c r="O6" s="12" t="str">
        <f t="shared" si="2"/>
        <v>OK</v>
      </c>
      <c r="P6" s="14">
        <f t="shared" si="3"/>
        <v>14000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 t="str">
        <f t="shared" si="4"/>
        <v>OK</v>
      </c>
      <c r="AP6" s="18">
        <f t="shared" si="5"/>
        <v>14000</v>
      </c>
      <c r="AQ6" s="16" t="s">
        <v>97</v>
      </c>
      <c r="AR6" s="15">
        <v>46195</v>
      </c>
    </row>
    <row r="7" ht="18" customHeight="1" spans="1:44">
      <c r="A7" s="11" t="s">
        <v>100</v>
      </c>
      <c r="B7" s="11" t="s">
        <v>101</v>
      </c>
      <c r="C7" s="11" t="s">
        <v>36</v>
      </c>
      <c r="D7" s="11" t="s">
        <v>27</v>
      </c>
      <c r="E7" s="11">
        <v>20</v>
      </c>
      <c r="F7" s="11" t="s">
        <v>28</v>
      </c>
      <c r="G7" s="11">
        <v>1</v>
      </c>
      <c r="H7" s="23">
        <v>8000</v>
      </c>
      <c r="I7" s="13">
        <f t="shared" si="0"/>
        <v>400</v>
      </c>
      <c r="J7" s="11">
        <v>40</v>
      </c>
      <c r="K7" s="12">
        <f>IFERROR(SUMIFS(MOVIMIENTOS!$E:$E,MOVIMIENTOS!$C:$C,$A7,MOVIMIENTOS!$B:$B,"ENTRADA"),0)</f>
        <v>40</v>
      </c>
      <c r="L7" s="12">
        <f>IFERROR(SUMIFS(MOVIMIENTOS!$E:$E,MOVIMIENTOS!$C:$C,$A7,MOVIMIENTOS!$B:$B,"SALIDA")+SUMIFS(MOVIMIENTOS!$E:$E,MOVIMIENTOS!$C:$C,$A7,MOVIMIENTOS!$B:$B,"MERMA"),0)</f>
        <v>0</v>
      </c>
      <c r="M7" s="12">
        <f t="shared" si="1"/>
        <v>80</v>
      </c>
      <c r="N7" s="11">
        <v>10</v>
      </c>
      <c r="O7" s="12" t="str">
        <f t="shared" si="2"/>
        <v>OK</v>
      </c>
      <c r="P7" s="14">
        <f t="shared" si="3"/>
        <v>32000</v>
      </c>
      <c r="AO7" s="12" t="str">
        <f t="shared" si="4"/>
        <v>OK</v>
      </c>
      <c r="AP7" s="14">
        <f t="shared" si="5"/>
        <v>32000</v>
      </c>
      <c r="AQ7" s="11" t="s">
        <v>102</v>
      </c>
      <c r="AR7" s="10">
        <v>46195</v>
      </c>
    </row>
    <row r="8" ht="18" customHeight="1" spans="1:44">
      <c r="A8" s="16" t="s">
        <v>103</v>
      </c>
      <c r="B8" s="16" t="s">
        <v>104</v>
      </c>
      <c r="C8" s="16" t="s">
        <v>62</v>
      </c>
      <c r="D8" s="16" t="s">
        <v>34</v>
      </c>
      <c r="E8" s="16">
        <v>100</v>
      </c>
      <c r="F8" s="16" t="s">
        <v>48</v>
      </c>
      <c r="G8" s="16">
        <v>2</v>
      </c>
      <c r="H8" s="18">
        <v>12000</v>
      </c>
      <c r="I8" s="17">
        <f t="shared" si="0"/>
        <v>60</v>
      </c>
      <c r="J8" s="16">
        <v>500</v>
      </c>
      <c r="K8" s="16">
        <f>IFERROR(SUMIFS(MOVIMIENTOS!$E:$E,MOVIMIENTOS!$C:$C,$A8,MOVIMIENTOS!$B:$B,"ENTRADA"),0)</f>
        <v>500</v>
      </c>
      <c r="L8" s="16">
        <f>IFERROR(SUMIFS(MOVIMIENTOS!$E:$E,MOVIMIENTOS!$C:$C,$A8,MOVIMIENTOS!$B:$B,"SALIDA")+SUMIFS(MOVIMIENTOS!$E:$E,MOVIMIENTOS!$C:$C,$A8,MOVIMIENTOS!$B:$B,"MERMA"),0)</f>
        <v>0</v>
      </c>
      <c r="M8" s="16">
        <f t="shared" si="1"/>
        <v>1000</v>
      </c>
      <c r="N8" s="16">
        <v>200</v>
      </c>
      <c r="O8" s="12" t="str">
        <f t="shared" si="2"/>
        <v>OK</v>
      </c>
      <c r="P8" s="14">
        <f t="shared" si="3"/>
        <v>60000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 t="str">
        <f t="shared" si="4"/>
        <v>OK</v>
      </c>
      <c r="AP8" s="18">
        <f t="shared" si="5"/>
        <v>60000</v>
      </c>
      <c r="AQ8" s="16" t="s">
        <v>105</v>
      </c>
      <c r="AR8" s="15">
        <v>46195</v>
      </c>
    </row>
    <row r="9" ht="18" customHeight="1" spans="1:44">
      <c r="A9" s="11" t="s">
        <v>106</v>
      </c>
      <c r="B9" s="11" t="s">
        <v>107</v>
      </c>
      <c r="C9" s="11" t="s">
        <v>29</v>
      </c>
      <c r="D9" s="11" t="s">
        <v>27</v>
      </c>
      <c r="E9" s="11">
        <v>25</v>
      </c>
      <c r="F9" s="11" t="s">
        <v>35</v>
      </c>
      <c r="G9" s="11">
        <v>1</v>
      </c>
      <c r="H9" s="23">
        <v>4500</v>
      </c>
      <c r="I9" s="13">
        <f t="shared" si="0"/>
        <v>180</v>
      </c>
      <c r="J9" s="11">
        <v>50</v>
      </c>
      <c r="K9" s="12">
        <f>IFERROR(SUMIFS(MOVIMIENTOS!$E:$E,MOVIMIENTOS!$C:$C,$A9,MOVIMIENTOS!$B:$B,"ENTRADA"),0)</f>
        <v>50</v>
      </c>
      <c r="L9" s="12">
        <f>IFERROR(SUMIFS(MOVIMIENTOS!$E:$E,MOVIMIENTOS!$C:$C,$A9,MOVIMIENTOS!$B:$B,"SALIDA")+SUMIFS(MOVIMIENTOS!$E:$E,MOVIMIENTOS!$C:$C,$A9,MOVIMIENTOS!$B:$B,"MERMA"),0)</f>
        <v>0</v>
      </c>
      <c r="M9" s="12">
        <f t="shared" si="1"/>
        <v>100</v>
      </c>
      <c r="N9" s="11">
        <v>10</v>
      </c>
      <c r="O9" s="12" t="str">
        <f t="shared" si="2"/>
        <v>OK</v>
      </c>
      <c r="P9" s="14">
        <f t="shared" si="3"/>
        <v>18000</v>
      </c>
      <c r="AO9" s="12" t="str">
        <f t="shared" si="4"/>
        <v>OK</v>
      </c>
      <c r="AP9" s="14">
        <f t="shared" si="5"/>
        <v>18000</v>
      </c>
      <c r="AQ9" s="11" t="s">
        <v>97</v>
      </c>
      <c r="AR9" s="10">
        <v>46195</v>
      </c>
    </row>
    <row r="10" ht="18" customHeight="1" spans="1:44">
      <c r="A10" s="16" t="s">
        <v>108</v>
      </c>
      <c r="B10" s="16" t="s">
        <v>109</v>
      </c>
      <c r="C10" s="16" t="s">
        <v>29</v>
      </c>
      <c r="D10" s="16" t="s">
        <v>27</v>
      </c>
      <c r="E10" s="16">
        <v>20</v>
      </c>
      <c r="F10" s="16" t="s">
        <v>35</v>
      </c>
      <c r="G10" s="16">
        <v>1</v>
      </c>
      <c r="H10" s="18">
        <v>3000</v>
      </c>
      <c r="I10" s="17">
        <f t="shared" si="0"/>
        <v>150</v>
      </c>
      <c r="J10" s="16">
        <v>40</v>
      </c>
      <c r="K10" s="16">
        <f>IFERROR(SUMIFS(MOVIMIENTOS!$E:$E,MOVIMIENTOS!$C:$C,$A10,MOVIMIENTOS!$B:$B,"ENTRADA"),0)</f>
        <v>40</v>
      </c>
      <c r="L10" s="16">
        <f>IFERROR(SUMIFS(MOVIMIENTOS!$E:$E,MOVIMIENTOS!$C:$C,$A10,MOVIMIENTOS!$B:$B,"SALIDA")+SUMIFS(MOVIMIENTOS!$E:$E,MOVIMIENTOS!$C:$C,$A10,MOVIMIENTOS!$B:$B,"MERMA"),0)</f>
        <v>0</v>
      </c>
      <c r="M10" s="16">
        <f t="shared" si="1"/>
        <v>80</v>
      </c>
      <c r="N10" s="16">
        <v>10</v>
      </c>
      <c r="O10" s="12" t="str">
        <f t="shared" si="2"/>
        <v>OK</v>
      </c>
      <c r="P10" s="14">
        <f t="shared" si="3"/>
        <v>12000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 t="str">
        <f t="shared" si="4"/>
        <v>OK</v>
      </c>
      <c r="AP10" s="18">
        <f t="shared" si="5"/>
        <v>12000</v>
      </c>
      <c r="AQ10" s="16" t="s">
        <v>97</v>
      </c>
      <c r="AR10" s="15">
        <v>46195</v>
      </c>
    </row>
    <row r="11" ht="18" customHeight="1" spans="1:44">
      <c r="A11" s="11" t="s">
        <v>110</v>
      </c>
      <c r="B11" s="11" t="s">
        <v>111</v>
      </c>
      <c r="C11" s="11" t="s">
        <v>49</v>
      </c>
      <c r="D11" s="11" t="s">
        <v>54</v>
      </c>
      <c r="E11" s="11">
        <v>50</v>
      </c>
      <c r="F11" s="11" t="s">
        <v>69</v>
      </c>
      <c r="G11" s="11">
        <v>1</v>
      </c>
      <c r="H11" s="23">
        <v>2500</v>
      </c>
      <c r="I11" s="13">
        <f t="shared" si="0"/>
        <v>50</v>
      </c>
      <c r="J11" s="11">
        <v>3</v>
      </c>
      <c r="K11" s="12">
        <f>IFERROR(SUMIFS(MOVIMIENTOS!$E:$E,MOVIMIENTOS!$C:$C,$A11,MOVIMIENTOS!$B:$B,"ENTRADA"),0)</f>
        <v>3</v>
      </c>
      <c r="L11" s="12">
        <f>IFERROR(SUMIFS(MOVIMIENTOS!$E:$E,MOVIMIENTOS!$C:$C,$A11,MOVIMIENTOS!$B:$B,"SALIDA")+SUMIFS(MOVIMIENTOS!$E:$E,MOVIMIENTOS!$C:$C,$A11,MOVIMIENTOS!$B:$B,"MERMA"),0)</f>
        <v>0</v>
      </c>
      <c r="M11" s="12">
        <f t="shared" si="1"/>
        <v>6</v>
      </c>
      <c r="N11" s="11">
        <v>1</v>
      </c>
      <c r="O11" s="12" t="str">
        <f t="shared" si="2"/>
        <v>OK</v>
      </c>
      <c r="P11" s="14">
        <f t="shared" si="3"/>
        <v>300</v>
      </c>
      <c r="AO11" s="12" t="str">
        <f t="shared" si="4"/>
        <v>OK</v>
      </c>
      <c r="AP11" s="14">
        <f t="shared" si="5"/>
        <v>300</v>
      </c>
      <c r="AQ11" s="11" t="s">
        <v>112</v>
      </c>
      <c r="AR11" s="10">
        <v>46195</v>
      </c>
    </row>
    <row r="12" ht="18" customHeight="1" spans="1:44">
      <c r="A12" s="16" t="s">
        <v>113</v>
      </c>
      <c r="B12" s="16" t="s">
        <v>114</v>
      </c>
      <c r="C12" s="16" t="s">
        <v>70</v>
      </c>
      <c r="D12" s="16" t="s">
        <v>27</v>
      </c>
      <c r="E12" s="16">
        <v>100</v>
      </c>
      <c r="F12" s="16" t="s">
        <v>28</v>
      </c>
      <c r="G12" s="16">
        <v>1</v>
      </c>
      <c r="H12" s="18">
        <v>1500</v>
      </c>
      <c r="I12" s="17">
        <f t="shared" si="0"/>
        <v>15</v>
      </c>
      <c r="J12" s="16">
        <v>200</v>
      </c>
      <c r="K12" s="16">
        <f>IFERROR(SUMIFS(MOVIMIENTOS!$E:$E,MOVIMIENTOS!$C:$C,$A12,MOVIMIENTOS!$B:$B,"ENTRADA"),0)</f>
        <v>200</v>
      </c>
      <c r="L12" s="16">
        <f>IFERROR(SUMIFS(MOVIMIENTOS!$E:$E,MOVIMIENTOS!$C:$C,$A12,MOVIMIENTOS!$B:$B,"SALIDA")+SUMIFS(MOVIMIENTOS!$E:$E,MOVIMIENTOS!$C:$C,$A12,MOVIMIENTOS!$B:$B,"MERMA"),0)</f>
        <v>0</v>
      </c>
      <c r="M12" s="16">
        <f t="shared" si="1"/>
        <v>400</v>
      </c>
      <c r="N12" s="16">
        <v>50</v>
      </c>
      <c r="O12" s="12" t="str">
        <f t="shared" si="2"/>
        <v>OK</v>
      </c>
      <c r="P12" s="14">
        <f t="shared" si="3"/>
        <v>6000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 t="str">
        <f t="shared" si="4"/>
        <v>OK</v>
      </c>
      <c r="AP12" s="18">
        <f t="shared" si="5"/>
        <v>6000</v>
      </c>
      <c r="AQ12" s="16" t="s">
        <v>115</v>
      </c>
      <c r="AR12" s="15">
        <v>46195</v>
      </c>
    </row>
    <row r="13" ht="18" customHeight="1" spans="1:44">
      <c r="A13" s="11" t="s">
        <v>116</v>
      </c>
      <c r="B13" s="11" t="s">
        <v>117</v>
      </c>
      <c r="C13" s="11" t="s">
        <v>42</v>
      </c>
      <c r="D13" s="11" t="s">
        <v>72</v>
      </c>
      <c r="E13" s="11">
        <v>200</v>
      </c>
      <c r="F13" s="11" t="s">
        <v>69</v>
      </c>
      <c r="G13" s="11">
        <v>1</v>
      </c>
      <c r="H13" s="23">
        <v>35000</v>
      </c>
      <c r="I13" s="13">
        <f t="shared" si="0"/>
        <v>175</v>
      </c>
      <c r="J13" s="11">
        <v>400</v>
      </c>
      <c r="K13" s="12">
        <f>IFERROR(SUMIFS(MOVIMIENTOS!$E:$E,MOVIMIENTOS!$C:$C,$A13,MOVIMIENTOS!$B:$B,"ENTRADA"),0)</f>
        <v>400</v>
      </c>
      <c r="L13" s="12">
        <f>IFERROR(SUMIFS(MOVIMIENTOS!$E:$E,MOVIMIENTOS!$C:$C,$A13,MOVIMIENTOS!$B:$B,"SALIDA")+SUMIFS(MOVIMIENTOS!$E:$E,MOVIMIENTOS!$C:$C,$A13,MOVIMIENTOS!$B:$B,"MERMA"),0)</f>
        <v>0</v>
      </c>
      <c r="M13" s="12">
        <f t="shared" si="1"/>
        <v>800</v>
      </c>
      <c r="N13" s="11">
        <v>100</v>
      </c>
      <c r="O13" s="12" t="str">
        <f t="shared" si="2"/>
        <v>OK</v>
      </c>
      <c r="P13" s="14">
        <f t="shared" si="3"/>
        <v>140000</v>
      </c>
      <c r="AO13" s="12" t="str">
        <f t="shared" si="4"/>
        <v>OK</v>
      </c>
      <c r="AP13" s="14">
        <f t="shared" si="5"/>
        <v>140000</v>
      </c>
      <c r="AQ13" s="11" t="s">
        <v>118</v>
      </c>
      <c r="AR13" s="10">
        <v>46195</v>
      </c>
    </row>
    <row r="14" ht="18" customHeight="1" spans="1:44">
      <c r="A14" s="16" t="s">
        <v>119</v>
      </c>
      <c r="B14" s="16" t="s">
        <v>120</v>
      </c>
      <c r="C14" s="16" t="s">
        <v>56</v>
      </c>
      <c r="D14" s="16" t="s">
        <v>47</v>
      </c>
      <c r="E14" s="16">
        <v>50000</v>
      </c>
      <c r="F14" s="16" t="s">
        <v>55</v>
      </c>
      <c r="G14" s="16">
        <v>1</v>
      </c>
      <c r="H14" s="18">
        <v>40000</v>
      </c>
      <c r="I14" s="17">
        <f t="shared" si="0"/>
        <v>0.8</v>
      </c>
      <c r="J14" s="16">
        <v>50000</v>
      </c>
      <c r="K14" s="16">
        <f>IFERROR(SUMIFS(MOVIMIENTOS!$E:$E,MOVIMIENTOS!$C:$C,$A14,MOVIMIENTOS!$B:$B,"ENTRADA"),0)</f>
        <v>50000</v>
      </c>
      <c r="L14" s="16">
        <f>IFERROR(SUMIFS(MOVIMIENTOS!$E:$E,MOVIMIENTOS!$C:$C,$A14,MOVIMIENTOS!$B:$B,"SALIDA")+SUMIFS(MOVIMIENTOS!$E:$E,MOVIMIENTOS!$C:$C,$A14,MOVIMIENTOS!$B:$B,"MERMA"),0)</f>
        <v>0</v>
      </c>
      <c r="M14" s="16">
        <f t="shared" si="1"/>
        <v>100000</v>
      </c>
      <c r="N14" s="16">
        <v>10000</v>
      </c>
      <c r="O14" s="12" t="str">
        <f t="shared" si="2"/>
        <v>OK</v>
      </c>
      <c r="P14" s="14">
        <f t="shared" si="3"/>
        <v>80000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 t="str">
        <f t="shared" si="4"/>
        <v>OK</v>
      </c>
      <c r="AP14" s="18">
        <f t="shared" si="5"/>
        <v>80000</v>
      </c>
      <c r="AQ14" s="16" t="s">
        <v>121</v>
      </c>
      <c r="AR14" s="15">
        <v>46195</v>
      </c>
    </row>
  </sheetData>
  <dataValidations count="3">
    <dataValidation type="list" showErrorMessage="1" error="Selecciona una opcion de la lista" sqref="C5:C500">
      <formula1>CONFIGURACION!$C$14:$C$21</formula1>
    </dataValidation>
    <dataValidation type="list" showErrorMessage="1" error="Selecciona una opcion de la lista" sqref="D5:D500">
      <formula1>CONFIGURACION!$A$14:$A$24</formula1>
    </dataValidation>
    <dataValidation type="list" showErrorMessage="1" error="Selecciona una opcion de la lista" sqref="F5:F500">
      <formula1>CONFIGURACION!$B$14:$B$22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8080"/>
  </sheetPr>
  <dimension ref="A1:I25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5"/>
  <cols>
    <col min="1" max="1" width="10" customWidth="1"/>
    <col min="2" max="2" width="28" customWidth="1"/>
    <col min="3" max="3" width="12" customWidth="1"/>
    <col min="4" max="4" width="22" customWidth="1"/>
    <col min="5" max="6" width="14" customWidth="1"/>
    <col min="7" max="7" width="12" customWidth="1"/>
    <col min="8" max="8" width="14" customWidth="1"/>
    <col min="9" max="9" width="22" customWidth="1"/>
  </cols>
  <sheetData>
    <row r="1" ht="26" customHeight="1" spans="1:9">
      <c r="A1" s="1" t="s">
        <v>122</v>
      </c>
      <c r="B1" s="2"/>
      <c r="C1" s="2"/>
      <c r="D1" s="2"/>
      <c r="E1" s="2"/>
      <c r="F1" s="2"/>
      <c r="G1" s="2"/>
      <c r="H1" s="2"/>
      <c r="I1" s="2"/>
    </row>
    <row r="2" ht="20" customHeight="1" spans="1:9">
      <c r="A2" s="43" t="s">
        <v>123</v>
      </c>
      <c r="B2" s="44"/>
      <c r="C2" s="44"/>
      <c r="D2" s="44"/>
      <c r="E2" s="44"/>
      <c r="F2" s="44"/>
      <c r="G2" s="44"/>
      <c r="H2" s="44"/>
      <c r="I2" s="44"/>
    </row>
    <row r="3" ht="20" customHeight="1" spans="1:9">
      <c r="A3" s="45" t="s">
        <v>124</v>
      </c>
      <c r="B3" s="46"/>
      <c r="C3" s="46"/>
      <c r="D3" s="46"/>
      <c r="E3" s="46"/>
      <c r="F3" s="46"/>
      <c r="G3" s="46"/>
      <c r="H3" s="46"/>
      <c r="I3" s="46"/>
    </row>
    <row r="4" ht="38" customHeight="1" spans="1:9">
      <c r="A4" s="7" t="s">
        <v>125</v>
      </c>
      <c r="B4" s="8" t="s">
        <v>126</v>
      </c>
      <c r="C4" s="8" t="s">
        <v>127</v>
      </c>
      <c r="D4" s="9" t="s">
        <v>79</v>
      </c>
      <c r="E4" s="9" t="s">
        <v>82</v>
      </c>
      <c r="F4" s="9" t="s">
        <v>85</v>
      </c>
      <c r="G4" s="8" t="s">
        <v>128</v>
      </c>
      <c r="H4" s="9" t="s">
        <v>129</v>
      </c>
      <c r="I4" s="7" t="s">
        <v>130</v>
      </c>
    </row>
    <row r="5" ht="18" customHeight="1" spans="1:9">
      <c r="A5" s="11" t="s">
        <v>131</v>
      </c>
      <c r="B5" s="11" t="s">
        <v>132</v>
      </c>
      <c r="C5" s="11" t="s">
        <v>95</v>
      </c>
      <c r="D5" s="12" t="str">
        <f>IFERROR(VLOOKUP(C5,MATERIALES!$A:$B,2,0),"")</f>
        <v>Papel fotografico 260g</v>
      </c>
      <c r="E5" s="12" t="str">
        <f>IFERROR(VLOOKUP(C5,MATERIALES!$A:$F,6,0),"")</f>
        <v>hoja</v>
      </c>
      <c r="F5" s="13">
        <f>IFERROR(VLOOKUP(C5,MATERIALES!$A:$I,9,0),0)</f>
        <v>250</v>
      </c>
      <c r="G5" s="11">
        <v>0.5</v>
      </c>
      <c r="H5" s="14">
        <f t="shared" ref="H5:H25" si="0">IFERROR(G5*F5,0)</f>
        <v>125</v>
      </c>
      <c r="I5" s="47" t="s">
        <v>133</v>
      </c>
    </row>
    <row r="6" ht="18" customHeight="1" spans="1:9">
      <c r="A6" s="16" t="s">
        <v>134</v>
      </c>
      <c r="B6" s="16" t="s">
        <v>132</v>
      </c>
      <c r="C6" s="16" t="s">
        <v>110</v>
      </c>
      <c r="D6" s="16" t="str">
        <f>IFERROR(VLOOKUP(C6,MATERIALES!$A:$B,2,0),"")</f>
        <v>Pegamento</v>
      </c>
      <c r="E6" s="16" t="str">
        <f>IFERROR(VLOOKUP(C6,MATERIALES!$A:$F,6,0),"")</f>
        <v>uso</v>
      </c>
      <c r="F6" s="17">
        <f>IFERROR(VLOOKUP(C6,MATERIALES!$A:$I,9,0),0)</f>
        <v>50</v>
      </c>
      <c r="G6" s="16">
        <v>0.1</v>
      </c>
      <c r="H6" s="18">
        <f t="shared" si="0"/>
        <v>5</v>
      </c>
      <c r="I6" s="48" t="s">
        <v>135</v>
      </c>
    </row>
    <row r="7" ht="18" customHeight="1" spans="1:9">
      <c r="A7" s="11" t="s">
        <v>136</v>
      </c>
      <c r="B7" s="11" t="s">
        <v>132</v>
      </c>
      <c r="C7" s="11" t="s">
        <v>113</v>
      </c>
      <c r="D7" s="12" t="str">
        <f>IFERROR(VLOOKUP(C7,MATERIALES!$A:$B,2,0),"")</f>
        <v>Palitos para toppers</v>
      </c>
      <c r="E7" s="12" t="str">
        <f>IFERROR(VLOOKUP(C7,MATERIALES!$A:$F,6,0),"")</f>
        <v>unidad</v>
      </c>
      <c r="F7" s="13">
        <f>IFERROR(VLOOKUP(C7,MATERIALES!$A:$I,9,0),0)</f>
        <v>15</v>
      </c>
      <c r="G7" s="11">
        <v>2</v>
      </c>
      <c r="H7" s="14">
        <f t="shared" si="0"/>
        <v>30</v>
      </c>
      <c r="I7" s="47" t="s">
        <v>137</v>
      </c>
    </row>
    <row r="8" ht="18" customHeight="1" spans="1:9">
      <c r="A8" s="16" t="s">
        <v>138</v>
      </c>
      <c r="B8" s="16" t="s">
        <v>132</v>
      </c>
      <c r="C8" s="16" t="s">
        <v>116</v>
      </c>
      <c r="D8" s="16" t="str">
        <f>IFERROR(VLOOKUP(C8,MATERIALES!$A:$B,2,0),"")</f>
        <v>Tinta Epson (set completo)</v>
      </c>
      <c r="E8" s="16" t="str">
        <f>IFERROR(VLOOKUP(C8,MATERIALES!$A:$F,6,0),"")</f>
        <v>uso</v>
      </c>
      <c r="F8" s="17">
        <f>IFERROR(VLOOKUP(C8,MATERIALES!$A:$I,9,0),0)</f>
        <v>175</v>
      </c>
      <c r="G8" s="16">
        <v>0.3</v>
      </c>
      <c r="H8" s="18">
        <f t="shared" si="0"/>
        <v>52.5</v>
      </c>
      <c r="I8" s="48" t="s">
        <v>139</v>
      </c>
    </row>
    <row r="9" ht="18" customHeight="1" spans="1:9">
      <c r="A9" s="11" t="s">
        <v>140</v>
      </c>
      <c r="B9" s="11" t="s">
        <v>141</v>
      </c>
      <c r="C9" s="11" t="s">
        <v>98</v>
      </c>
      <c r="D9" s="12" t="str">
        <f>IFERROR(VLOOKUP(C9,MATERIALES!$A:$B,2,0),"")</f>
        <v>Papel fotografico 180g</v>
      </c>
      <c r="E9" s="12" t="str">
        <f>IFERROR(VLOOKUP(C9,MATERIALES!$A:$F,6,0),"")</f>
        <v>hoja</v>
      </c>
      <c r="F9" s="13">
        <f>IFERROR(VLOOKUP(C9,MATERIALES!$A:$I,9,0),0)</f>
        <v>70</v>
      </c>
      <c r="G9" s="11">
        <v>9</v>
      </c>
      <c r="H9" s="14">
        <f t="shared" si="0"/>
        <v>630</v>
      </c>
      <c r="I9" s="47" t="s">
        <v>142</v>
      </c>
    </row>
    <row r="10" ht="18" customHeight="1" spans="1:9">
      <c r="A10" s="16" t="s">
        <v>143</v>
      </c>
      <c r="B10" s="16" t="s">
        <v>141</v>
      </c>
      <c r="C10" s="16" t="s">
        <v>116</v>
      </c>
      <c r="D10" s="16" t="str">
        <f>IFERROR(VLOOKUP(C10,MATERIALES!$A:$B,2,0),"")</f>
        <v>Tinta Epson (set completo)</v>
      </c>
      <c r="E10" s="16" t="str">
        <f>IFERROR(VLOOKUP(C10,MATERIALES!$A:$F,6,0),"")</f>
        <v>uso</v>
      </c>
      <c r="F10" s="17">
        <f>IFERROR(VLOOKUP(C10,MATERIALES!$A:$I,9,0),0)</f>
        <v>175</v>
      </c>
      <c r="G10" s="16">
        <v>0.5</v>
      </c>
      <c r="H10" s="18">
        <f t="shared" si="0"/>
        <v>87.5</v>
      </c>
      <c r="I10" s="48" t="s">
        <v>144</v>
      </c>
    </row>
    <row r="11" ht="18" customHeight="1" spans="1:9">
      <c r="A11" s="11" t="s">
        <v>145</v>
      </c>
      <c r="B11" s="11" t="s">
        <v>146</v>
      </c>
      <c r="C11" s="11" t="s">
        <v>103</v>
      </c>
      <c r="D11" s="12" t="str">
        <f>IFERROR(VLOOKUP(C11,MATERIALES!$A:$B,2,0),"")</f>
        <v>Vinil textil por metro</v>
      </c>
      <c r="E11" s="12" t="str">
        <f>IFERROR(VLOOKUP(C11,MATERIALES!$A:$F,6,0),"")</f>
        <v>centimetro</v>
      </c>
      <c r="F11" s="13">
        <f>IFERROR(VLOOKUP(C11,MATERIALES!$A:$I,9,0),0)</f>
        <v>60</v>
      </c>
      <c r="G11" s="11">
        <v>60</v>
      </c>
      <c r="H11" s="14">
        <f t="shared" si="0"/>
        <v>3600</v>
      </c>
      <c r="I11" s="47" t="s">
        <v>147</v>
      </c>
    </row>
    <row r="12" ht="18" customHeight="1" spans="1:9">
      <c r="A12" s="16" t="s">
        <v>148</v>
      </c>
      <c r="B12" s="16" t="s">
        <v>146</v>
      </c>
      <c r="C12" s="16" t="s">
        <v>116</v>
      </c>
      <c r="D12" s="16" t="str">
        <f>IFERROR(VLOOKUP(C12,MATERIALES!$A:$B,2,0),"")</f>
        <v>Tinta Epson (set completo)</v>
      </c>
      <c r="E12" s="16" t="str">
        <f>IFERROR(VLOOKUP(C12,MATERIALES!$A:$F,6,0),"")</f>
        <v>uso</v>
      </c>
      <c r="F12" s="17">
        <f>IFERROR(VLOOKUP(C12,MATERIALES!$A:$I,9,0),0)</f>
        <v>175</v>
      </c>
      <c r="G12" s="16">
        <v>0.2</v>
      </c>
      <c r="H12" s="18">
        <f t="shared" si="0"/>
        <v>35</v>
      </c>
      <c r="I12" s="48" t="s">
        <v>149</v>
      </c>
    </row>
    <row r="13" ht="18" customHeight="1" spans="1:9">
      <c r="A13" s="11" t="s">
        <v>150</v>
      </c>
      <c r="B13" s="11" t="s">
        <v>151</v>
      </c>
      <c r="C13" s="11" t="s">
        <v>100</v>
      </c>
      <c r="D13" s="12" t="str">
        <f>IFERROR(VLOOKUP(C13,MATERIALES!$A:$B,2,0),"")</f>
        <v>Vinil imprimible (pack 20u)</v>
      </c>
      <c r="E13" s="12" t="str">
        <f>IFERROR(VLOOKUP(C13,MATERIALES!$A:$F,6,0),"")</f>
        <v>unidad</v>
      </c>
      <c r="F13" s="13">
        <f>IFERROR(VLOOKUP(C13,MATERIALES!$A:$I,9,0),0)</f>
        <v>400</v>
      </c>
      <c r="G13" s="11">
        <v>1</v>
      </c>
      <c r="H13" s="14">
        <f t="shared" si="0"/>
        <v>400</v>
      </c>
      <c r="I13" s="47" t="s">
        <v>152</v>
      </c>
    </row>
    <row r="14" ht="18" customHeight="1" spans="1:9">
      <c r="A14" s="16" t="s">
        <v>153</v>
      </c>
      <c r="B14" s="16" t="s">
        <v>151</v>
      </c>
      <c r="C14" s="16" t="s">
        <v>116</v>
      </c>
      <c r="D14" s="16" t="str">
        <f>IFERROR(VLOOKUP(C14,MATERIALES!$A:$B,2,0),"")</f>
        <v>Tinta Epson (set completo)</v>
      </c>
      <c r="E14" s="16" t="str">
        <f>IFERROR(VLOOKUP(C14,MATERIALES!$A:$F,6,0),"")</f>
        <v>uso</v>
      </c>
      <c r="F14" s="17">
        <f>IFERROR(VLOOKUP(C14,MATERIALES!$A:$I,9,0),0)</f>
        <v>175</v>
      </c>
      <c r="G14" s="16">
        <v>0.2</v>
      </c>
      <c r="H14" s="18">
        <f t="shared" si="0"/>
        <v>35</v>
      </c>
      <c r="I14" s="48" t="s">
        <v>154</v>
      </c>
    </row>
    <row r="15" ht="18" customHeight="1" spans="1:9">
      <c r="A15" s="11" t="s">
        <v>155</v>
      </c>
      <c r="B15" s="11" t="s">
        <v>156</v>
      </c>
      <c r="C15" s="11" t="s">
        <v>119</v>
      </c>
      <c r="D15" s="12" t="str">
        <f>IFERROR(VLOOKUP(C15,MATERIALES!$A:$B,2,0),"")</f>
        <v>Lona para pendones</v>
      </c>
      <c r="E15" s="12" t="str">
        <f>IFERROR(VLOOKUP(C15,MATERIALES!$A:$F,6,0),"")</f>
        <v>cm2</v>
      </c>
      <c r="F15" s="13">
        <f>IFERROR(VLOOKUP(C15,MATERIALES!$A:$I,9,0),0)</f>
        <v>0.8</v>
      </c>
      <c r="G15" s="11">
        <v>9600</v>
      </c>
      <c r="H15" s="14">
        <f t="shared" si="0"/>
        <v>7680</v>
      </c>
      <c r="I15" s="47" t="s">
        <v>157</v>
      </c>
    </row>
    <row r="16" ht="18" customHeight="1" spans="1:9">
      <c r="A16" s="16" t="s">
        <v>158</v>
      </c>
      <c r="B16" s="16" t="s">
        <v>156</v>
      </c>
      <c r="C16" s="16" t="s">
        <v>116</v>
      </c>
      <c r="D16" s="16" t="str">
        <f>IFERROR(VLOOKUP(C16,MATERIALES!$A:$B,2,0),"")</f>
        <v>Tinta Epson (set completo)</v>
      </c>
      <c r="E16" s="16" t="str">
        <f>IFERROR(VLOOKUP(C16,MATERIALES!$A:$F,6,0),"")</f>
        <v>uso</v>
      </c>
      <c r="F16" s="17">
        <f>IFERROR(VLOOKUP(C16,MATERIALES!$A:$I,9,0),0)</f>
        <v>175</v>
      </c>
      <c r="G16" s="16">
        <v>0.5</v>
      </c>
      <c r="H16" s="18">
        <f t="shared" si="0"/>
        <v>87.5</v>
      </c>
      <c r="I16" s="48" t="s">
        <v>159</v>
      </c>
    </row>
    <row r="17" ht="18" customHeight="1" spans="1:9">
      <c r="A17" s="11" t="s">
        <v>160</v>
      </c>
      <c r="B17" s="11" t="s">
        <v>161</v>
      </c>
      <c r="C17" s="11" t="s">
        <v>108</v>
      </c>
      <c r="D17" s="12" t="str">
        <f>IFERROR(VLOOKUP(C17,MATERIALES!$A:$B,2,0),"")</f>
        <v>Cartulina opalina</v>
      </c>
      <c r="E17" s="12" t="str">
        <f>IFERROR(VLOOKUP(C17,MATERIALES!$A:$F,6,0),"")</f>
        <v>hoja</v>
      </c>
      <c r="F17" s="13">
        <f>IFERROR(VLOOKUP(C17,MATERIALES!$A:$I,9,0),0)</f>
        <v>150</v>
      </c>
      <c r="G17" s="11">
        <v>2</v>
      </c>
      <c r="H17" s="14">
        <f t="shared" si="0"/>
        <v>300</v>
      </c>
      <c r="I17" s="47" t="s">
        <v>162</v>
      </c>
    </row>
    <row r="18" ht="18" customHeight="1" spans="1:9">
      <c r="A18" s="16" t="s">
        <v>163</v>
      </c>
      <c r="B18" s="16" t="s">
        <v>161</v>
      </c>
      <c r="C18" s="16" t="s">
        <v>110</v>
      </c>
      <c r="D18" s="16" t="str">
        <f>IFERROR(VLOOKUP(C18,MATERIALES!$A:$B,2,0),"")</f>
        <v>Pegamento</v>
      </c>
      <c r="E18" s="16" t="str">
        <f>IFERROR(VLOOKUP(C18,MATERIALES!$A:$F,6,0),"")</f>
        <v>uso</v>
      </c>
      <c r="F18" s="17">
        <f>IFERROR(VLOOKUP(C18,MATERIALES!$A:$I,9,0),0)</f>
        <v>50</v>
      </c>
      <c r="G18" s="16">
        <v>0.15</v>
      </c>
      <c r="H18" s="18">
        <f t="shared" si="0"/>
        <v>7.5</v>
      </c>
      <c r="I18" s="48" t="s">
        <v>164</v>
      </c>
    </row>
    <row r="19" ht="18" customHeight="1" spans="1:9">
      <c r="A19" s="11" t="s">
        <v>165</v>
      </c>
      <c r="B19" s="11" t="s">
        <v>161</v>
      </c>
      <c r="C19" s="11" t="s">
        <v>116</v>
      </c>
      <c r="D19" s="12" t="str">
        <f>IFERROR(VLOOKUP(C19,MATERIALES!$A:$B,2,0),"")</f>
        <v>Tinta Epson (set completo)</v>
      </c>
      <c r="E19" s="12" t="str">
        <f>IFERROR(VLOOKUP(C19,MATERIALES!$A:$F,6,0),"")</f>
        <v>uso</v>
      </c>
      <c r="F19" s="13">
        <f>IFERROR(VLOOKUP(C19,MATERIALES!$A:$I,9,0),0)</f>
        <v>175</v>
      </c>
      <c r="G19" s="11">
        <v>0.1</v>
      </c>
      <c r="H19" s="14">
        <f t="shared" si="0"/>
        <v>17.5</v>
      </c>
      <c r="I19" s="47" t="s">
        <v>166</v>
      </c>
    </row>
    <row r="20" ht="18" customHeight="1" spans="1:9">
      <c r="A20" s="16" t="s">
        <v>167</v>
      </c>
      <c r="B20" s="16" t="s">
        <v>168</v>
      </c>
      <c r="C20" s="16" t="s">
        <v>106</v>
      </c>
      <c r="D20" s="16" t="str">
        <f>IFERROR(VLOOKUP(C20,MATERIALES!$A:$B,2,0),"")</f>
        <v>Papel adhesivo</v>
      </c>
      <c r="E20" s="16" t="str">
        <f>IFERROR(VLOOKUP(C20,MATERIALES!$A:$F,6,0),"")</f>
        <v>hoja</v>
      </c>
      <c r="F20" s="17">
        <f>IFERROR(VLOOKUP(C20,MATERIALES!$A:$I,9,0),0)</f>
        <v>180</v>
      </c>
      <c r="G20" s="16">
        <v>2</v>
      </c>
      <c r="H20" s="18">
        <f t="shared" si="0"/>
        <v>360</v>
      </c>
      <c r="I20" s="48" t="s">
        <v>169</v>
      </c>
    </row>
    <row r="21" ht="18" customHeight="1" spans="1:9">
      <c r="A21" s="11" t="s">
        <v>170</v>
      </c>
      <c r="B21" s="11" t="s">
        <v>168</v>
      </c>
      <c r="C21" s="11" t="s">
        <v>116</v>
      </c>
      <c r="D21" s="12" t="str">
        <f>IFERROR(VLOOKUP(C21,MATERIALES!$A:$B,2,0),"")</f>
        <v>Tinta Epson (set completo)</v>
      </c>
      <c r="E21" s="12" t="str">
        <f>IFERROR(VLOOKUP(C21,MATERIALES!$A:$F,6,0),"")</f>
        <v>uso</v>
      </c>
      <c r="F21" s="13">
        <f>IFERROR(VLOOKUP(C21,MATERIALES!$A:$I,9,0),0)</f>
        <v>175</v>
      </c>
      <c r="G21" s="11">
        <v>0.15</v>
      </c>
      <c r="H21" s="14">
        <f t="shared" si="0"/>
        <v>26.25</v>
      </c>
      <c r="I21" s="47" t="s">
        <v>171</v>
      </c>
    </row>
    <row r="22" ht="18" customHeight="1" spans="1:9">
      <c r="A22" s="16" t="s">
        <v>172</v>
      </c>
      <c r="B22" s="16" t="s">
        <v>173</v>
      </c>
      <c r="C22" s="16" t="s">
        <v>98</v>
      </c>
      <c r="D22" s="16" t="str">
        <f>IFERROR(VLOOKUP(C22,MATERIALES!$A:$B,2,0),"")</f>
        <v>Papel fotografico 180g</v>
      </c>
      <c r="E22" s="16" t="str">
        <f>IFERROR(VLOOKUP(C22,MATERIALES!$A:$F,6,0),"")</f>
        <v>hoja</v>
      </c>
      <c r="F22" s="17">
        <f>IFERROR(VLOOKUP(C22,MATERIALES!$A:$I,9,0),0)</f>
        <v>70</v>
      </c>
      <c r="G22" s="16">
        <v>1</v>
      </c>
      <c r="H22" s="18">
        <f t="shared" si="0"/>
        <v>70</v>
      </c>
      <c r="I22" s="48" t="s">
        <v>174</v>
      </c>
    </row>
    <row r="23" ht="18" customHeight="1" spans="1:9">
      <c r="A23" s="11" t="s">
        <v>175</v>
      </c>
      <c r="B23" s="11" t="s">
        <v>173</v>
      </c>
      <c r="C23" s="11" t="s">
        <v>116</v>
      </c>
      <c r="D23" s="12" t="str">
        <f>IFERROR(VLOOKUP(C23,MATERIALES!$A:$B,2,0),"")</f>
        <v>Tinta Epson (set completo)</v>
      </c>
      <c r="E23" s="12" t="str">
        <f>IFERROR(VLOOKUP(C23,MATERIALES!$A:$F,6,0),"")</f>
        <v>uso</v>
      </c>
      <c r="F23" s="13">
        <f>IFERROR(VLOOKUP(C23,MATERIALES!$A:$I,9,0),0)</f>
        <v>175</v>
      </c>
      <c r="G23" s="11">
        <v>0.08</v>
      </c>
      <c r="H23" s="14">
        <f t="shared" si="0"/>
        <v>14</v>
      </c>
      <c r="I23" s="47" t="s">
        <v>154</v>
      </c>
    </row>
    <row r="24" ht="18" customHeight="1" spans="1:9">
      <c r="A24" s="16" t="s">
        <v>176</v>
      </c>
      <c r="B24" s="16" t="s">
        <v>177</v>
      </c>
      <c r="C24" s="16" t="s">
        <v>100</v>
      </c>
      <c r="D24" s="16" t="str">
        <f>IFERROR(VLOOKUP(C24,MATERIALES!$A:$B,2,0),"")</f>
        <v>Vinil imprimible (pack 20u)</v>
      </c>
      <c r="E24" s="16" t="str">
        <f>IFERROR(VLOOKUP(C24,MATERIALES!$A:$F,6,0),"")</f>
        <v>unidad</v>
      </c>
      <c r="F24" s="17">
        <f>IFERROR(VLOOKUP(C24,MATERIALES!$A:$I,9,0),0)</f>
        <v>400</v>
      </c>
      <c r="G24" s="16">
        <v>1</v>
      </c>
      <c r="H24" s="18">
        <f t="shared" si="0"/>
        <v>400</v>
      </c>
      <c r="I24" s="48" t="s">
        <v>178</v>
      </c>
    </row>
    <row r="25" ht="18" customHeight="1" spans="1:9">
      <c r="A25" s="11" t="s">
        <v>179</v>
      </c>
      <c r="B25" s="11" t="s">
        <v>177</v>
      </c>
      <c r="C25" s="11" t="s">
        <v>116</v>
      </c>
      <c r="D25" s="12" t="str">
        <f>IFERROR(VLOOKUP(C25,MATERIALES!$A:$B,2,0),"")</f>
        <v>Tinta Epson (set completo)</v>
      </c>
      <c r="E25" s="12" t="str">
        <f>IFERROR(VLOOKUP(C25,MATERIALES!$A:$F,6,0),"")</f>
        <v>uso</v>
      </c>
      <c r="F25" s="13">
        <f>IFERROR(VLOOKUP(C25,MATERIALES!$A:$I,9,0),0)</f>
        <v>175</v>
      </c>
      <c r="G25" s="11">
        <v>0.15</v>
      </c>
      <c r="H25" s="14">
        <f t="shared" si="0"/>
        <v>26.25</v>
      </c>
      <c r="I25" s="47" t="s">
        <v>180</v>
      </c>
    </row>
  </sheetData>
  <dataValidations count="2">
    <dataValidation type="list" showErrorMessage="1" error="Selecciona una opcion de la lista" sqref="B5:B500">
      <formula1>PRODUCTOS!$B$5:$B$100</formula1>
    </dataValidation>
    <dataValidation type="list" showErrorMessage="1" error="Selecciona una opcion de la lista" sqref="C5:C500">
      <formula1>MATERIALES!$A$5:$A$100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28B22"/>
  </sheetPr>
  <dimension ref="A1:AU14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28" customWidth="1"/>
    <col min="3" max="3" width="22" customWidth="1"/>
    <col min="4" max="4" width="12" customWidth="1"/>
    <col min="5" max="5" width="14" customWidth="1"/>
    <col min="6" max="9" width="8" customWidth="1"/>
    <col min="10" max="10" width="10" customWidth="1"/>
    <col min="11" max="11" width="11" customWidth="1"/>
    <col min="12" max="12" width="12" customWidth="1"/>
    <col min="13" max="13" width="8" customWidth="1"/>
    <col min="14" max="14" width="11" customWidth="1"/>
    <col min="15" max="19" width="13" customWidth="1"/>
    <col min="20" max="20" width="10" customWidth="1"/>
    <col min="21" max="21" width="14" customWidth="1"/>
  </cols>
  <sheetData>
    <row r="1" ht="26" customHeight="1" spans="1:47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20" customHeight="1" spans="1:47">
      <c r="A2" s="32" t="s">
        <v>182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</row>
    <row r="3" ht="20" customHeight="1" spans="1:47">
      <c r="A3" s="34" t="s">
        <v>183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</row>
    <row r="4" ht="38" customHeight="1" spans="1:47">
      <c r="A4" s="7" t="s">
        <v>184</v>
      </c>
      <c r="B4" s="7" t="s">
        <v>126</v>
      </c>
      <c r="C4" s="7" t="s">
        <v>4</v>
      </c>
      <c r="D4" s="8" t="s">
        <v>185</v>
      </c>
      <c r="E4" s="9" t="s">
        <v>186</v>
      </c>
      <c r="F4" s="8" t="s">
        <v>187</v>
      </c>
      <c r="G4" s="8" t="s">
        <v>188</v>
      </c>
      <c r="H4" s="8" t="s">
        <v>189</v>
      </c>
      <c r="I4" s="8" t="s">
        <v>190</v>
      </c>
      <c r="J4" s="9" t="s">
        <v>191</v>
      </c>
      <c r="K4" s="9" t="s">
        <v>192</v>
      </c>
      <c r="L4" s="9" t="s">
        <v>193</v>
      </c>
      <c r="M4" s="9" t="s">
        <v>194</v>
      </c>
      <c r="N4" s="9" t="s">
        <v>195</v>
      </c>
      <c r="AO4" s="9" t="s">
        <v>84</v>
      </c>
      <c r="AP4" s="39" t="s">
        <v>196</v>
      </c>
      <c r="AQ4" s="39" t="s">
        <v>197</v>
      </c>
      <c r="AR4" s="39" t="s">
        <v>198</v>
      </c>
      <c r="AS4" s="8" t="s">
        <v>199</v>
      </c>
      <c r="AT4" s="9" t="s">
        <v>200</v>
      </c>
      <c r="AU4" s="40" t="s">
        <v>201</v>
      </c>
    </row>
    <row r="5" ht="18" customHeight="1" spans="1:47">
      <c r="A5" s="11" t="s">
        <v>202</v>
      </c>
      <c r="B5" s="11" t="s">
        <v>132</v>
      </c>
      <c r="C5" s="11" t="s">
        <v>203</v>
      </c>
      <c r="D5" s="11" t="s">
        <v>33</v>
      </c>
      <c r="E5" s="14">
        <f>IFERROR(SUMIF(RECETAS!$B:$B,B5,RECETAS!$H:$H),0)</f>
        <v>212.5</v>
      </c>
      <c r="F5" s="11">
        <v>5</v>
      </c>
      <c r="G5" s="11">
        <v>5</v>
      </c>
      <c r="H5" s="11">
        <v>0</v>
      </c>
      <c r="I5" s="11">
        <v>5</v>
      </c>
      <c r="J5" s="12">
        <f t="shared" ref="J5:J14" si="0">F5+G5+H5+I5</f>
        <v>15</v>
      </c>
      <c r="K5" s="14">
        <f>IFERROR(CONFIGURACION!$B$5,0)</f>
        <v>4000</v>
      </c>
      <c r="L5" s="14">
        <f t="shared" ref="L5:L14" si="1">IFERROR(J5*K5/60,0)</f>
        <v>1000</v>
      </c>
      <c r="M5" s="36">
        <f>IFERROR(CONFIGURACION!$B$9,0)</f>
        <v>0.15</v>
      </c>
      <c r="N5" s="14">
        <f t="shared" ref="N5:N14" si="2">IFERROR((E5+L5)*M5,0)</f>
        <v>181.875</v>
      </c>
      <c r="O5" s="24">
        <f t="shared" ref="O5:O14" si="3">IFERROR(E5+L5+N5,0)</f>
        <v>1394.375</v>
      </c>
      <c r="P5" s="14">
        <f>IFERROR(ROUNDUP(O5/(1-CONFIGURACION!$B$6),0),0)</f>
        <v>1992</v>
      </c>
      <c r="Q5" s="24">
        <f>IFERROR(ROUNDUP(O5/(1-CONFIGURACION!$B$7),0),0)</f>
        <v>3099</v>
      </c>
      <c r="R5" s="14">
        <f>IFERROR(ROUNDUP(O5/(1-CONFIGURACION!$B$8),0),0)</f>
        <v>4648</v>
      </c>
      <c r="S5" s="38">
        <v>6500</v>
      </c>
      <c r="T5" s="26">
        <f t="shared" ref="T5:T14" si="4">IF(S5&gt;0,(S5-O5)/S5,0)</f>
        <v>0.785480769230769</v>
      </c>
      <c r="U5" s="12" t="str">
        <f>IF(S5=0,"SIN PRECIO",IF(T5&lt;CONFIGURACION!$B$6,"BAJO COSTO",IF(T5&lt;CONFIGURACION!$B$7,"REVISAR","OK")))</f>
        <v>OK</v>
      </c>
      <c r="AO5" s="24">
        <f t="shared" ref="AO5:AO14" si="5">IFERROR(E5+L5+N5,0)</f>
        <v>1394.375</v>
      </c>
      <c r="AP5" s="14">
        <f>IFERROR(ROUNDUP(O5/(1-CONFIGURACION!$B$6),0),0)</f>
        <v>1992</v>
      </c>
      <c r="AQ5" s="24">
        <f>IFERROR(ROUNDUP(O5/(1-CONFIGURACION!$B$7),0),0)</f>
        <v>3099</v>
      </c>
      <c r="AR5" s="14">
        <f>IFERROR(ROUNDUP(O5/(1-CONFIGURACION!$B$8),0),0)</f>
        <v>4648</v>
      </c>
      <c r="AS5" s="38">
        <v>6500</v>
      </c>
      <c r="AT5" s="26">
        <f t="shared" ref="AT5:AT14" si="6">IF(S5&gt;0,(S5-O5)/S5,0)</f>
        <v>0.785480769230769</v>
      </c>
      <c r="AU5" s="12"/>
    </row>
    <row r="6" ht="18" customHeight="1" spans="1:47">
      <c r="A6" s="16" t="s">
        <v>204</v>
      </c>
      <c r="B6" s="16" t="s">
        <v>205</v>
      </c>
      <c r="C6" s="16" t="s">
        <v>206</v>
      </c>
      <c r="D6" s="16" t="s">
        <v>33</v>
      </c>
      <c r="E6" s="18">
        <f>IFERROR(SUMIF(RECETAS!$B:$B,B6,RECETAS!$H:$H),0)</f>
        <v>0</v>
      </c>
      <c r="F6" s="16">
        <v>8</v>
      </c>
      <c r="G6" s="16">
        <v>8</v>
      </c>
      <c r="H6" s="16">
        <v>0</v>
      </c>
      <c r="I6" s="16">
        <v>10</v>
      </c>
      <c r="J6" s="16">
        <f t="shared" si="0"/>
        <v>26</v>
      </c>
      <c r="K6" s="18">
        <f>IFERROR(CONFIGURACION!$B$5,0)</f>
        <v>4000</v>
      </c>
      <c r="L6" s="18">
        <f t="shared" si="1"/>
        <v>1733.33333333333</v>
      </c>
      <c r="M6" s="37">
        <f>IFERROR(CONFIGURACION!$B$9,0)</f>
        <v>0.15</v>
      </c>
      <c r="N6" s="18">
        <f t="shared" si="2"/>
        <v>260</v>
      </c>
      <c r="O6" s="24">
        <f t="shared" si="3"/>
        <v>1993.33333333333</v>
      </c>
      <c r="P6" s="14">
        <f>IFERROR(ROUNDUP(O6/(1-CONFIGURACION!$B$6),0),0)</f>
        <v>2848</v>
      </c>
      <c r="Q6" s="24">
        <f>IFERROR(ROUNDUP(O6/(1-CONFIGURACION!$B$7),0),0)</f>
        <v>4430</v>
      </c>
      <c r="R6" s="14">
        <f>IFERROR(ROUNDUP(O6/(1-CONFIGURACION!$B$8),0),0)</f>
        <v>6645</v>
      </c>
      <c r="S6" s="38">
        <v>22500</v>
      </c>
      <c r="T6" s="26">
        <f t="shared" si="4"/>
        <v>0.911407407407407</v>
      </c>
      <c r="U6" s="12" t="str">
        <f>IF(S6=0,"SIN PRECIO",IF(T6&lt;CONFIGURACION!$B$6,"BAJO COSTO",IF(T6&lt;CONFIGURACION!$B$7,"REVISAR","OK")))</f>
        <v>OK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41">
        <f t="shared" si="5"/>
        <v>1993.33333333333</v>
      </c>
      <c r="AP6" s="18">
        <f>IFERROR(ROUNDUP(O6/(1-CONFIGURACION!$B$6),0),0)</f>
        <v>2848</v>
      </c>
      <c r="AQ6" s="41">
        <f>IFERROR(ROUNDUP(O6/(1-CONFIGURACION!$B$7),0),0)</f>
        <v>4430</v>
      </c>
      <c r="AR6" s="18">
        <f>IFERROR(ROUNDUP(O6/(1-CONFIGURACION!$B$8),0),0)</f>
        <v>6645</v>
      </c>
      <c r="AS6" s="41">
        <v>22500</v>
      </c>
      <c r="AT6" s="42">
        <f t="shared" si="6"/>
        <v>0.911407407407407</v>
      </c>
      <c r="AU6" s="16"/>
    </row>
    <row r="7" ht="18" customHeight="1" spans="1:47">
      <c r="A7" s="11" t="s">
        <v>207</v>
      </c>
      <c r="B7" s="11" t="s">
        <v>141</v>
      </c>
      <c r="C7" s="11" t="s">
        <v>208</v>
      </c>
      <c r="D7" s="11" t="s">
        <v>59</v>
      </c>
      <c r="E7" s="14">
        <f>IFERROR(SUMIF(RECETAS!$B:$B,B7,RECETAS!$H:$H),0)</f>
        <v>717.5</v>
      </c>
      <c r="F7" s="11">
        <v>10</v>
      </c>
      <c r="G7" s="11">
        <v>10</v>
      </c>
      <c r="H7" s="11">
        <v>5</v>
      </c>
      <c r="I7" s="11">
        <v>2</v>
      </c>
      <c r="J7" s="12">
        <f t="shared" si="0"/>
        <v>27</v>
      </c>
      <c r="K7" s="14">
        <f>IFERROR(CONFIGURACION!$B$5,0)</f>
        <v>4000</v>
      </c>
      <c r="L7" s="14">
        <f t="shared" si="1"/>
        <v>1800</v>
      </c>
      <c r="M7" s="36">
        <f>IFERROR(CONFIGURACION!$B$9,0)</f>
        <v>0.15</v>
      </c>
      <c r="N7" s="14">
        <f t="shared" si="2"/>
        <v>377.625</v>
      </c>
      <c r="O7" s="24">
        <f t="shared" si="3"/>
        <v>2895.125</v>
      </c>
      <c r="P7" s="14">
        <f>IFERROR(ROUNDUP(O7/(1-CONFIGURACION!$B$6),0),0)</f>
        <v>4136</v>
      </c>
      <c r="Q7" s="24">
        <f>IFERROR(ROUNDUP(O7/(1-CONFIGURACION!$B$7),0),0)</f>
        <v>6434</v>
      </c>
      <c r="R7" s="14">
        <f>IFERROR(ROUNDUP(O7/(1-CONFIGURACION!$B$8),0),0)</f>
        <v>9651</v>
      </c>
      <c r="S7" s="38">
        <v>12500</v>
      </c>
      <c r="T7" s="26">
        <f t="shared" si="4"/>
        <v>0.76839</v>
      </c>
      <c r="U7" s="12" t="str">
        <f>IF(S7=0,"SIN PRECIO",IF(T7&lt;CONFIGURACION!$B$6,"BAJO COSTO",IF(T7&lt;CONFIGURACION!$B$7,"REVISAR","OK")))</f>
        <v>OK</v>
      </c>
      <c r="AO7" s="24">
        <f t="shared" si="5"/>
        <v>2895.125</v>
      </c>
      <c r="AP7" s="14">
        <f>IFERROR(ROUNDUP(O7/(1-CONFIGURACION!$B$6),0),0)</f>
        <v>4136</v>
      </c>
      <c r="AQ7" s="24">
        <f>IFERROR(ROUNDUP(O7/(1-CONFIGURACION!$B$7),0),0)</f>
        <v>6434</v>
      </c>
      <c r="AR7" s="14">
        <f>IFERROR(ROUNDUP(O7/(1-CONFIGURACION!$B$8),0),0)</f>
        <v>9651</v>
      </c>
      <c r="AS7" s="38">
        <v>12500</v>
      </c>
      <c r="AT7" s="26">
        <f t="shared" si="6"/>
        <v>0.76839</v>
      </c>
      <c r="AU7" s="12"/>
    </row>
    <row r="8" ht="18" customHeight="1" spans="1:47">
      <c r="A8" s="16" t="s">
        <v>209</v>
      </c>
      <c r="B8" s="16" t="s">
        <v>173</v>
      </c>
      <c r="C8" s="16" t="s">
        <v>210</v>
      </c>
      <c r="D8" s="16" t="s">
        <v>33</v>
      </c>
      <c r="E8" s="18">
        <f>IFERROR(SUMIF(RECETAS!$B:$B,B8,RECETAS!$H:$H),0)</f>
        <v>84</v>
      </c>
      <c r="F8" s="16">
        <v>3</v>
      </c>
      <c r="G8" s="16">
        <v>3</v>
      </c>
      <c r="H8" s="16">
        <v>0</v>
      </c>
      <c r="I8" s="16">
        <v>0</v>
      </c>
      <c r="J8" s="16">
        <f t="shared" si="0"/>
        <v>6</v>
      </c>
      <c r="K8" s="18">
        <f>IFERROR(CONFIGURACION!$B$5,0)</f>
        <v>4000</v>
      </c>
      <c r="L8" s="18">
        <f t="shared" si="1"/>
        <v>400</v>
      </c>
      <c r="M8" s="37">
        <f>IFERROR(CONFIGURACION!$B$9,0)</f>
        <v>0.15</v>
      </c>
      <c r="N8" s="18">
        <f t="shared" si="2"/>
        <v>72.6</v>
      </c>
      <c r="O8" s="24">
        <f t="shared" si="3"/>
        <v>556.6</v>
      </c>
      <c r="P8" s="14">
        <f>IFERROR(ROUNDUP(O8/(1-CONFIGURACION!$B$6),0),0)</f>
        <v>796</v>
      </c>
      <c r="Q8" s="24">
        <f>IFERROR(ROUNDUP(O8/(1-CONFIGURACION!$B$7),0),0)</f>
        <v>1237</v>
      </c>
      <c r="R8" s="14">
        <f>IFERROR(ROUNDUP(O8/(1-CONFIGURACION!$B$8),0),0)</f>
        <v>1856</v>
      </c>
      <c r="S8" s="38">
        <v>350</v>
      </c>
      <c r="T8" s="26">
        <f t="shared" si="4"/>
        <v>-0.590285714285714</v>
      </c>
      <c r="U8" s="12" t="str">
        <f>IF(S8=0,"SIN PRECIO",IF(T8&lt;CONFIGURACION!$B$6,"BAJO COSTO",IF(T8&lt;CONFIGURACION!$B$7,"REVISAR","OK")))</f>
        <v>BAJO COSTO</v>
      </c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41">
        <f t="shared" si="5"/>
        <v>556.6</v>
      </c>
      <c r="AP8" s="18">
        <f>IFERROR(ROUNDUP(O8/(1-CONFIGURACION!$B$6),0),0)</f>
        <v>796</v>
      </c>
      <c r="AQ8" s="41">
        <f>IFERROR(ROUNDUP(O8/(1-CONFIGURACION!$B$7),0),0)</f>
        <v>1237</v>
      </c>
      <c r="AR8" s="18">
        <f>IFERROR(ROUNDUP(O8/(1-CONFIGURACION!$B$8),0),0)</f>
        <v>1856</v>
      </c>
      <c r="AS8" s="41">
        <v>350</v>
      </c>
      <c r="AT8" s="42">
        <f t="shared" si="6"/>
        <v>-0.590285714285714</v>
      </c>
      <c r="AU8" s="16"/>
    </row>
    <row r="9" ht="18" customHeight="1" spans="1:47">
      <c r="A9" s="11" t="s">
        <v>211</v>
      </c>
      <c r="B9" s="11" t="s">
        <v>168</v>
      </c>
      <c r="C9" s="11" t="s">
        <v>212</v>
      </c>
      <c r="D9" s="11" t="s">
        <v>46</v>
      </c>
      <c r="E9" s="14">
        <f>IFERROR(SUMIF(RECETAS!$B:$B,B9,RECETAS!$H:$H),0)</f>
        <v>386.25</v>
      </c>
      <c r="F9" s="11">
        <v>5</v>
      </c>
      <c r="G9" s="11">
        <v>5</v>
      </c>
      <c r="H9" s="11">
        <v>5</v>
      </c>
      <c r="I9" s="11">
        <v>0</v>
      </c>
      <c r="J9" s="12">
        <f t="shared" si="0"/>
        <v>15</v>
      </c>
      <c r="K9" s="14">
        <f>IFERROR(CONFIGURACION!$B$5,0)</f>
        <v>4000</v>
      </c>
      <c r="L9" s="14">
        <f t="shared" si="1"/>
        <v>1000</v>
      </c>
      <c r="M9" s="36">
        <f>IFERROR(CONFIGURACION!$B$9,0)</f>
        <v>0.15</v>
      </c>
      <c r="N9" s="14">
        <f t="shared" si="2"/>
        <v>207.9375</v>
      </c>
      <c r="O9" s="24">
        <f t="shared" si="3"/>
        <v>1594.1875</v>
      </c>
      <c r="P9" s="14">
        <f>IFERROR(ROUNDUP(O9/(1-CONFIGURACION!$B$6),0),0)</f>
        <v>2278</v>
      </c>
      <c r="Q9" s="24">
        <f>IFERROR(ROUNDUP(O9/(1-CONFIGURACION!$B$7),0),0)</f>
        <v>3543</v>
      </c>
      <c r="R9" s="14">
        <f>IFERROR(ROUNDUP(O9/(1-CONFIGURACION!$B$8),0),0)</f>
        <v>5314</v>
      </c>
      <c r="S9" s="38">
        <v>5500</v>
      </c>
      <c r="T9" s="26">
        <f t="shared" si="4"/>
        <v>0.710147727272727</v>
      </c>
      <c r="U9" s="12" t="str">
        <f>IF(S9=0,"SIN PRECIO",IF(T9&lt;CONFIGURACION!$B$6,"BAJO COSTO",IF(T9&lt;CONFIGURACION!$B$7,"REVISAR","OK")))</f>
        <v>OK</v>
      </c>
      <c r="AO9" s="24">
        <f t="shared" si="5"/>
        <v>1594.1875</v>
      </c>
      <c r="AP9" s="14">
        <f>IFERROR(ROUNDUP(O9/(1-CONFIGURACION!$B$6),0),0)</f>
        <v>2278</v>
      </c>
      <c r="AQ9" s="24">
        <f>IFERROR(ROUNDUP(O9/(1-CONFIGURACION!$B$7),0),0)</f>
        <v>3543</v>
      </c>
      <c r="AR9" s="14">
        <f>IFERROR(ROUNDUP(O9/(1-CONFIGURACION!$B$8),0),0)</f>
        <v>5314</v>
      </c>
      <c r="AS9" s="38">
        <v>5500</v>
      </c>
      <c r="AT9" s="26">
        <f t="shared" si="6"/>
        <v>0.710147727272727</v>
      </c>
      <c r="AU9" s="12"/>
    </row>
    <row r="10" ht="18" customHeight="1" spans="1:47">
      <c r="A10" s="16" t="s">
        <v>213</v>
      </c>
      <c r="B10" s="16" t="s">
        <v>151</v>
      </c>
      <c r="C10" s="16" t="s">
        <v>214</v>
      </c>
      <c r="D10" s="16" t="s">
        <v>46</v>
      </c>
      <c r="E10" s="18">
        <f>IFERROR(SUMIF(RECETAS!$B:$B,B10,RECETAS!$H:$H),0)</f>
        <v>435</v>
      </c>
      <c r="F10" s="16">
        <v>5</v>
      </c>
      <c r="G10" s="16">
        <v>5</v>
      </c>
      <c r="H10" s="16">
        <v>5</v>
      </c>
      <c r="I10" s="16">
        <v>0</v>
      </c>
      <c r="J10" s="16">
        <f t="shared" si="0"/>
        <v>15</v>
      </c>
      <c r="K10" s="18">
        <f>IFERROR(CONFIGURACION!$B$5,0)</f>
        <v>4000</v>
      </c>
      <c r="L10" s="18">
        <f t="shared" si="1"/>
        <v>1000</v>
      </c>
      <c r="M10" s="37">
        <f>IFERROR(CONFIGURACION!$B$9,0)</f>
        <v>0.15</v>
      </c>
      <c r="N10" s="18">
        <f t="shared" si="2"/>
        <v>215.25</v>
      </c>
      <c r="O10" s="24">
        <f t="shared" si="3"/>
        <v>1650.25</v>
      </c>
      <c r="P10" s="14">
        <f>IFERROR(ROUNDUP(O10/(1-CONFIGURACION!$B$6),0),0)</f>
        <v>2358</v>
      </c>
      <c r="Q10" s="24">
        <f>IFERROR(ROUNDUP(O10/(1-CONFIGURACION!$B$7),0),0)</f>
        <v>3668</v>
      </c>
      <c r="R10" s="14">
        <f>IFERROR(ROUNDUP(O10/(1-CONFIGURACION!$B$8),0),0)</f>
        <v>5501</v>
      </c>
      <c r="S10" s="38">
        <v>4000</v>
      </c>
      <c r="T10" s="26">
        <f t="shared" si="4"/>
        <v>0.5874375</v>
      </c>
      <c r="U10" s="12" t="str">
        <f>IF(S10=0,"SIN PRECIO",IF(T10&lt;CONFIGURACION!$B$6,"BAJO COSTO",IF(T10&lt;CONFIGURACION!$B$7,"REVISAR","OK")))</f>
        <v>OK</v>
      </c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41">
        <f t="shared" si="5"/>
        <v>1650.25</v>
      </c>
      <c r="AP10" s="18">
        <f>IFERROR(ROUNDUP(O10/(1-CONFIGURACION!$B$6),0),0)</f>
        <v>2358</v>
      </c>
      <c r="AQ10" s="41">
        <f>IFERROR(ROUNDUP(O10/(1-CONFIGURACION!$B$7),0),0)</f>
        <v>3668</v>
      </c>
      <c r="AR10" s="18">
        <f>IFERROR(ROUNDUP(O10/(1-CONFIGURACION!$B$8),0),0)</f>
        <v>5501</v>
      </c>
      <c r="AS10" s="41">
        <v>4000</v>
      </c>
      <c r="AT10" s="42">
        <f t="shared" si="6"/>
        <v>0.5874375</v>
      </c>
      <c r="AU10" s="16"/>
    </row>
    <row r="11" ht="18" customHeight="1" spans="1:47">
      <c r="A11" s="11" t="s">
        <v>215</v>
      </c>
      <c r="B11" s="11" t="s">
        <v>177</v>
      </c>
      <c r="C11" s="11" t="s">
        <v>216</v>
      </c>
      <c r="D11" s="11" t="s">
        <v>33</v>
      </c>
      <c r="E11" s="14">
        <f>IFERROR(SUMIF(RECETAS!$B:$B,B11,RECETAS!$H:$H),0)</f>
        <v>426.25</v>
      </c>
      <c r="F11" s="11">
        <v>10</v>
      </c>
      <c r="G11" s="11">
        <v>5</v>
      </c>
      <c r="H11" s="11">
        <v>10</v>
      </c>
      <c r="I11" s="11">
        <v>5</v>
      </c>
      <c r="J11" s="12">
        <f t="shared" si="0"/>
        <v>30</v>
      </c>
      <c r="K11" s="14">
        <f>IFERROR(CONFIGURACION!$B$5,0)</f>
        <v>4000</v>
      </c>
      <c r="L11" s="14">
        <f t="shared" si="1"/>
        <v>2000</v>
      </c>
      <c r="M11" s="36">
        <f>IFERROR(CONFIGURACION!$B$9,0)</f>
        <v>0.15</v>
      </c>
      <c r="N11" s="14">
        <f t="shared" si="2"/>
        <v>363.9375</v>
      </c>
      <c r="O11" s="24">
        <f t="shared" si="3"/>
        <v>2790.1875</v>
      </c>
      <c r="P11" s="14">
        <f>IFERROR(ROUNDUP(O11/(1-CONFIGURACION!$B$6),0),0)</f>
        <v>3986</v>
      </c>
      <c r="Q11" s="24">
        <f>IFERROR(ROUNDUP(O11/(1-CONFIGURACION!$B$7),0),0)</f>
        <v>6201</v>
      </c>
      <c r="R11" s="14">
        <f>IFERROR(ROUNDUP(O11/(1-CONFIGURACION!$B$8),0),0)</f>
        <v>9301</v>
      </c>
      <c r="S11" s="38">
        <v>9500</v>
      </c>
      <c r="T11" s="26">
        <f t="shared" si="4"/>
        <v>0.706296052631579</v>
      </c>
      <c r="U11" s="12" t="str">
        <f>IF(S11=0,"SIN PRECIO",IF(T11&lt;CONFIGURACION!$B$6,"BAJO COSTO",IF(T11&lt;CONFIGURACION!$B$7,"REVISAR","OK")))</f>
        <v>OK</v>
      </c>
      <c r="AO11" s="24">
        <f t="shared" si="5"/>
        <v>2790.1875</v>
      </c>
      <c r="AP11" s="14">
        <f>IFERROR(ROUNDUP(O11/(1-CONFIGURACION!$B$6),0),0)</f>
        <v>3986</v>
      </c>
      <c r="AQ11" s="24">
        <f>IFERROR(ROUNDUP(O11/(1-CONFIGURACION!$B$7),0),0)</f>
        <v>6201</v>
      </c>
      <c r="AR11" s="14">
        <f>IFERROR(ROUNDUP(O11/(1-CONFIGURACION!$B$8),0),0)</f>
        <v>9301</v>
      </c>
      <c r="AS11" s="38">
        <v>9500</v>
      </c>
      <c r="AT11" s="26">
        <f t="shared" si="6"/>
        <v>0.706296052631579</v>
      </c>
      <c r="AU11" s="12"/>
    </row>
    <row r="12" ht="18" customHeight="1" spans="1:47">
      <c r="A12" s="16" t="s">
        <v>217</v>
      </c>
      <c r="B12" s="16" t="s">
        <v>146</v>
      </c>
      <c r="C12" s="16" t="s">
        <v>218</v>
      </c>
      <c r="D12" s="16" t="s">
        <v>33</v>
      </c>
      <c r="E12" s="18">
        <f>IFERROR(SUMIF(RECETAS!$B:$B,B12,RECETAS!$H:$H),0)</f>
        <v>3635</v>
      </c>
      <c r="F12" s="16">
        <v>10</v>
      </c>
      <c r="G12" s="16">
        <v>8</v>
      </c>
      <c r="H12" s="16">
        <v>5</v>
      </c>
      <c r="I12" s="16">
        <v>7</v>
      </c>
      <c r="J12" s="16">
        <f t="shared" si="0"/>
        <v>30</v>
      </c>
      <c r="K12" s="18">
        <f>IFERROR(CONFIGURACION!$B$5,0)</f>
        <v>4000</v>
      </c>
      <c r="L12" s="18">
        <f t="shared" si="1"/>
        <v>2000</v>
      </c>
      <c r="M12" s="37">
        <f>IFERROR(CONFIGURACION!$B$9,0)</f>
        <v>0.15</v>
      </c>
      <c r="N12" s="18">
        <f t="shared" si="2"/>
        <v>845.25</v>
      </c>
      <c r="O12" s="24">
        <f t="shared" si="3"/>
        <v>6480.25</v>
      </c>
      <c r="P12" s="14">
        <f>IFERROR(ROUNDUP(O12/(1-CONFIGURACION!$B$6),0),0)</f>
        <v>9258</v>
      </c>
      <c r="Q12" s="24">
        <f>IFERROR(ROUNDUP(O12/(1-CONFIGURACION!$B$7),0),0)</f>
        <v>14401</v>
      </c>
      <c r="R12" s="14">
        <f>IFERROR(ROUNDUP(O12/(1-CONFIGURACION!$B$8),0),0)</f>
        <v>21601</v>
      </c>
      <c r="S12" s="38">
        <v>8500</v>
      </c>
      <c r="T12" s="26">
        <f t="shared" si="4"/>
        <v>0.237617647058824</v>
      </c>
      <c r="U12" s="12" t="str">
        <f>IF(S12=0,"SIN PRECIO",IF(T12&lt;CONFIGURACION!$B$6,"BAJO COSTO",IF(T12&lt;CONFIGURACION!$B$7,"REVISAR","OK")))</f>
        <v>BAJO COSTO</v>
      </c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41">
        <f t="shared" si="5"/>
        <v>6480.25</v>
      </c>
      <c r="AP12" s="18">
        <f>IFERROR(ROUNDUP(O12/(1-CONFIGURACION!$B$6),0),0)</f>
        <v>9258</v>
      </c>
      <c r="AQ12" s="41">
        <f>IFERROR(ROUNDUP(O12/(1-CONFIGURACION!$B$7),0),0)</f>
        <v>14401</v>
      </c>
      <c r="AR12" s="18">
        <f>IFERROR(ROUNDUP(O12/(1-CONFIGURACION!$B$8),0),0)</f>
        <v>21601</v>
      </c>
      <c r="AS12" s="41">
        <v>8500</v>
      </c>
      <c r="AT12" s="42">
        <f t="shared" si="6"/>
        <v>0.237617647058824</v>
      </c>
      <c r="AU12" s="16"/>
    </row>
    <row r="13" ht="18" customHeight="1" spans="1:47">
      <c r="A13" s="11" t="s">
        <v>219</v>
      </c>
      <c r="B13" s="11" t="s">
        <v>156</v>
      </c>
      <c r="C13" s="11" t="s">
        <v>220</v>
      </c>
      <c r="D13" s="11" t="s">
        <v>33</v>
      </c>
      <c r="E13" s="14">
        <f>IFERROR(SUMIF(RECETAS!$B:$B,B13,RECETAS!$H:$H),0)</f>
        <v>7767.5</v>
      </c>
      <c r="F13" s="11">
        <v>15</v>
      </c>
      <c r="G13" s="11">
        <v>15</v>
      </c>
      <c r="H13" s="11">
        <v>0</v>
      </c>
      <c r="I13" s="11">
        <v>15</v>
      </c>
      <c r="J13" s="12">
        <f t="shared" si="0"/>
        <v>45</v>
      </c>
      <c r="K13" s="14">
        <f>IFERROR(CONFIGURACION!$B$5,0)</f>
        <v>4000</v>
      </c>
      <c r="L13" s="14">
        <f t="shared" si="1"/>
        <v>3000</v>
      </c>
      <c r="M13" s="36">
        <f>IFERROR(CONFIGURACION!$B$9,0)</f>
        <v>0.15</v>
      </c>
      <c r="N13" s="14">
        <f t="shared" si="2"/>
        <v>1615.125</v>
      </c>
      <c r="O13" s="24">
        <f t="shared" si="3"/>
        <v>12382.625</v>
      </c>
      <c r="P13" s="14">
        <f>IFERROR(ROUNDUP(O13/(1-CONFIGURACION!$B$6),0),0)</f>
        <v>17690</v>
      </c>
      <c r="Q13" s="24">
        <f>IFERROR(ROUNDUP(O13/(1-CONFIGURACION!$B$7),0),0)</f>
        <v>27517</v>
      </c>
      <c r="R13" s="14">
        <f>IFERROR(ROUNDUP(O13/(1-CONFIGURACION!$B$8),0),0)</f>
        <v>41276</v>
      </c>
      <c r="S13" s="38">
        <v>18000</v>
      </c>
      <c r="T13" s="26">
        <f t="shared" si="4"/>
        <v>0.312076388888889</v>
      </c>
      <c r="U13" s="12" t="str">
        <f>IF(S13=0,"SIN PRECIO",IF(T13&lt;CONFIGURACION!$B$6,"BAJO COSTO",IF(T13&lt;CONFIGURACION!$B$7,"REVISAR","OK")))</f>
        <v>REVISAR</v>
      </c>
      <c r="AO13" s="24">
        <f t="shared" si="5"/>
        <v>12382.625</v>
      </c>
      <c r="AP13" s="14">
        <f>IFERROR(ROUNDUP(O13/(1-CONFIGURACION!$B$6),0),0)</f>
        <v>17690</v>
      </c>
      <c r="AQ13" s="24">
        <f>IFERROR(ROUNDUP(O13/(1-CONFIGURACION!$B$7),0),0)</f>
        <v>27517</v>
      </c>
      <c r="AR13" s="14">
        <f>IFERROR(ROUNDUP(O13/(1-CONFIGURACION!$B$8),0),0)</f>
        <v>41276</v>
      </c>
      <c r="AS13" s="38">
        <v>18000</v>
      </c>
      <c r="AT13" s="26">
        <f t="shared" si="6"/>
        <v>0.312076388888889</v>
      </c>
      <c r="AU13" s="12"/>
    </row>
    <row r="14" ht="18" customHeight="1" spans="1:47">
      <c r="A14" s="16" t="s">
        <v>221</v>
      </c>
      <c r="B14" s="16" t="s">
        <v>161</v>
      </c>
      <c r="C14" s="16" t="s">
        <v>222</v>
      </c>
      <c r="D14" s="16" t="s">
        <v>33</v>
      </c>
      <c r="E14" s="18">
        <f>IFERROR(SUMIF(RECETAS!$B:$B,B14,RECETAS!$H:$H),0)</f>
        <v>325</v>
      </c>
      <c r="F14" s="16">
        <v>15</v>
      </c>
      <c r="G14" s="16">
        <v>5</v>
      </c>
      <c r="H14" s="16">
        <v>15</v>
      </c>
      <c r="I14" s="16">
        <v>10</v>
      </c>
      <c r="J14" s="16">
        <f t="shared" si="0"/>
        <v>45</v>
      </c>
      <c r="K14" s="18">
        <f>IFERROR(CONFIGURACION!$B$5,0)</f>
        <v>4000</v>
      </c>
      <c r="L14" s="18">
        <f t="shared" si="1"/>
        <v>3000</v>
      </c>
      <c r="M14" s="37">
        <f>IFERROR(CONFIGURACION!$B$9,0)</f>
        <v>0.15</v>
      </c>
      <c r="N14" s="18">
        <f t="shared" si="2"/>
        <v>498.75</v>
      </c>
      <c r="O14" s="24">
        <f t="shared" si="3"/>
        <v>3823.75</v>
      </c>
      <c r="P14" s="14">
        <f>IFERROR(ROUNDUP(O14/(1-CONFIGURACION!$B$6),0),0)</f>
        <v>5463</v>
      </c>
      <c r="Q14" s="24">
        <f>IFERROR(ROUNDUP(O14/(1-CONFIGURACION!$B$7),0),0)</f>
        <v>8498</v>
      </c>
      <c r="R14" s="14">
        <f>IFERROR(ROUNDUP(O14/(1-CONFIGURACION!$B$8),0),0)</f>
        <v>12746</v>
      </c>
      <c r="S14" s="38">
        <v>7500</v>
      </c>
      <c r="T14" s="26">
        <f t="shared" si="4"/>
        <v>0.490166666666667</v>
      </c>
      <c r="U14" s="12" t="str">
        <f>IF(S14=0,"SIN PRECIO",IF(T14&lt;CONFIGURACION!$B$6,"BAJO COSTO",IF(T14&lt;CONFIGURACION!$B$7,"REVISAR","OK")))</f>
        <v>REVISAR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41">
        <f t="shared" si="5"/>
        <v>3823.75</v>
      </c>
      <c r="AP14" s="18">
        <f>IFERROR(ROUNDUP(O14/(1-CONFIGURACION!$B$6),0),0)</f>
        <v>5463</v>
      </c>
      <c r="AQ14" s="41">
        <f>IFERROR(ROUNDUP(O14/(1-CONFIGURACION!$B$7),0),0)</f>
        <v>8498</v>
      </c>
      <c r="AR14" s="18">
        <f>IFERROR(ROUNDUP(O14/(1-CONFIGURACION!$B$8),0),0)</f>
        <v>12746</v>
      </c>
      <c r="AS14" s="41">
        <v>7500</v>
      </c>
      <c r="AT14" s="42">
        <f t="shared" si="6"/>
        <v>0.490166666666667</v>
      </c>
      <c r="AU14" s="16"/>
    </row>
  </sheetData>
  <dataValidations count="1">
    <dataValidation type="list" showErrorMessage="1" error="Selecciona una opcion de la lista" sqref="D5:D500">
      <formula1>CONFIGURACION!$G$14:$G$21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4B0A"/>
  </sheetPr>
  <dimension ref="A1:AP105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5"/>
  <cols>
    <col min="1" max="1" width="10" customWidth="1"/>
    <col min="2" max="2" width="12" customWidth="1"/>
    <col min="3" max="3" width="22" customWidth="1"/>
    <col min="4" max="4" width="28" customWidth="1"/>
    <col min="5" max="5" width="8" customWidth="1"/>
    <col min="6" max="6" width="13" customWidth="1"/>
    <col min="7" max="9" width="14" customWidth="1"/>
    <col min="10" max="10" width="12" customWidth="1"/>
    <col min="11" max="12" width="10" customWidth="1"/>
    <col min="13" max="13" width="14" customWidth="1"/>
    <col min="14" max="15" width="16" customWidth="1"/>
    <col min="16" max="16" width="22" customWidth="1"/>
  </cols>
  <sheetData>
    <row r="1" ht="26" customHeight="1" spans="1:42">
      <c r="A1" s="1" t="s">
        <v>223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20" customHeight="1" spans="1:42">
      <c r="A2" s="19" t="s">
        <v>224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ht="20" customHeight="1" spans="1:42">
      <c r="A3" s="21" t="s">
        <v>225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</row>
    <row r="4" ht="38" customHeight="1" spans="1:42">
      <c r="A4" s="7" t="s">
        <v>226</v>
      </c>
      <c r="B4" s="7" t="s">
        <v>227</v>
      </c>
      <c r="C4" s="7" t="s">
        <v>228</v>
      </c>
      <c r="D4" s="8" t="s">
        <v>126</v>
      </c>
      <c r="E4" s="8" t="s">
        <v>229</v>
      </c>
      <c r="F4" s="8" t="s">
        <v>230</v>
      </c>
      <c r="G4" s="9" t="s">
        <v>231</v>
      </c>
      <c r="H4" s="9" t="s">
        <v>232</v>
      </c>
      <c r="I4" s="9" t="s">
        <v>84</v>
      </c>
      <c r="J4" s="9" t="s">
        <v>233</v>
      </c>
      <c r="K4" s="9" t="s">
        <v>234</v>
      </c>
      <c r="L4" s="8" t="s">
        <v>235</v>
      </c>
      <c r="M4" s="9" t="s">
        <v>236</v>
      </c>
      <c r="N4" s="8" t="s">
        <v>237</v>
      </c>
      <c r="AO4" s="8" t="s">
        <v>201</v>
      </c>
      <c r="AP4" s="7" t="s">
        <v>238</v>
      </c>
    </row>
    <row r="5" ht="18" customHeight="1" spans="1:42">
      <c r="A5" s="11" t="s">
        <v>239</v>
      </c>
      <c r="B5" s="10">
        <v>46195</v>
      </c>
      <c r="C5" s="11" t="s">
        <v>240</v>
      </c>
      <c r="D5" s="11" t="s">
        <v>132</v>
      </c>
      <c r="E5" s="11">
        <v>10</v>
      </c>
      <c r="F5" s="23">
        <v>6500</v>
      </c>
      <c r="G5" s="24">
        <f>IFERROR(E5*F5,0)</f>
        <v>65000</v>
      </c>
      <c r="H5" s="14">
        <f>IFERROR(VLOOKUP(D5,PRODUCTOS!$B:$O,14,0),0)</f>
        <v>1394.375</v>
      </c>
      <c r="I5" s="14">
        <f>IFERROR(E5*H5,0)</f>
        <v>13943.75</v>
      </c>
      <c r="J5" s="24">
        <f>IFERROR(G5-I5,0)</f>
        <v>51056.25</v>
      </c>
      <c r="K5" s="26">
        <f>IF(G5&gt;0,J5/G5,0)</f>
        <v>0.785480769230769</v>
      </c>
      <c r="L5" s="11">
        <v>75</v>
      </c>
      <c r="M5" s="14">
        <f>IF(L5&gt;0,J5/(L5/60),0)</f>
        <v>40845</v>
      </c>
      <c r="N5" s="11" t="s">
        <v>32</v>
      </c>
      <c r="AO5" s="11" t="s">
        <v>57</v>
      </c>
      <c r="AP5" s="28" t="s">
        <v>241</v>
      </c>
    </row>
    <row r="6" ht="18" customHeight="1" spans="1:42">
      <c r="A6" s="16" t="s">
        <v>242</v>
      </c>
      <c r="B6" s="16"/>
      <c r="C6" s="25" t="s">
        <v>243</v>
      </c>
      <c r="D6" s="16"/>
      <c r="E6" s="16"/>
      <c r="F6" s="16"/>
      <c r="G6" s="18">
        <f>IFERROR(E6*F6,0)</f>
        <v>0</v>
      </c>
      <c r="H6" s="18">
        <f>IFERROR(VLOOKUP(D6,PRODUCTOS!$B:$O,14,0),0)</f>
        <v>0</v>
      </c>
      <c r="I6" s="18">
        <f>IFERROR(E6*H6,0)</f>
        <v>0</v>
      </c>
      <c r="J6" s="18">
        <f>IFERROR(G6-I6,0)</f>
        <v>0</v>
      </c>
      <c r="K6" s="27">
        <f>IF(G6&gt;0,J6/G6,0)</f>
        <v>0</v>
      </c>
      <c r="L6" s="16"/>
      <c r="M6" s="18">
        <f>IF(L6&gt;0,J6/(L6/60),0)</f>
        <v>0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105" ht="22" customHeight="1" spans="1:16">
      <c r="A105" s="29" t="s">
        <v>244</v>
      </c>
      <c r="B105" s="2"/>
      <c r="C105" s="2"/>
      <c r="D105" s="2"/>
      <c r="E105" s="2"/>
      <c r="F105" s="2"/>
      <c r="G105" s="30">
        <f>SUM(G5:G104)</f>
        <v>65000</v>
      </c>
      <c r="H105" s="2"/>
      <c r="I105" s="30">
        <f>SUM(I5:I104)</f>
        <v>13943.75</v>
      </c>
      <c r="J105" s="30">
        <f>SUM(J5:J104)</f>
        <v>51056.25</v>
      </c>
      <c r="K105" s="31">
        <f>IFERROR(J105/G105,0)</f>
        <v>0.785480769230769</v>
      </c>
      <c r="L105" s="2"/>
      <c r="M105" s="2"/>
      <c r="N105" s="2"/>
      <c r="O105" s="2"/>
      <c r="P105" s="2"/>
    </row>
  </sheetData>
  <dataValidations count="3">
    <dataValidation type="list" showErrorMessage="1" error="Selecciona una opcion de la lista" sqref="D5:D500">
      <formula1>PRODUCTOS!$B$5:$B$100</formula1>
    </dataValidation>
    <dataValidation type="list" showErrorMessage="1" error="Selecciona una opcion de la lista" sqref="N5:N500">
      <formula1>CONFIGURACION!$F$14:$F$20</formula1>
    </dataValidation>
    <dataValidation type="list" showErrorMessage="1" error="Selecciona una opcion de la lista" sqref="O5:O500">
      <formula1>CONFIGURACION!$D$14:$D$19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41E1E"/>
  </sheetPr>
  <dimension ref="A1:J14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5"/>
  <cols>
    <col min="1" max="1" width="12" customWidth="1"/>
    <col min="2" max="3" width="11" customWidth="1"/>
    <col min="4" max="4" width="24" customWidth="1"/>
    <col min="5" max="5" width="12" customWidth="1"/>
    <col min="6" max="7" width="13" customWidth="1"/>
    <col min="8" max="9" width="14" customWidth="1"/>
    <col min="10" max="10" width="26" customWidth="1"/>
  </cols>
  <sheetData>
    <row r="1" ht="26" customHeight="1" spans="1:10">
      <c r="A1" s="1" t="s">
        <v>245</v>
      </c>
      <c r="B1" s="2"/>
      <c r="C1" s="2"/>
      <c r="D1" s="2"/>
      <c r="E1" s="2"/>
      <c r="F1" s="2"/>
      <c r="G1" s="2"/>
      <c r="H1" s="2"/>
      <c r="I1" s="2"/>
      <c r="J1" s="2"/>
    </row>
    <row r="2" ht="20" customHeight="1" spans="1:10">
      <c r="A2" s="3" t="s">
        <v>246</v>
      </c>
      <c r="B2" s="4"/>
      <c r="C2" s="4"/>
      <c r="D2" s="4"/>
      <c r="E2" s="4"/>
      <c r="F2" s="4"/>
      <c r="G2" s="4"/>
      <c r="H2" s="4"/>
      <c r="I2" s="4"/>
      <c r="J2" s="4"/>
    </row>
    <row r="3" ht="20" customHeight="1" spans="1:10">
      <c r="A3" s="5" t="s">
        <v>247</v>
      </c>
      <c r="B3" s="6"/>
      <c r="C3" s="6"/>
      <c r="D3" s="6"/>
      <c r="E3" s="6"/>
      <c r="F3" s="6"/>
      <c r="G3" s="6"/>
      <c r="H3" s="6"/>
      <c r="I3" s="6"/>
      <c r="J3" s="6"/>
    </row>
    <row r="4" ht="38" customHeight="1" spans="1:10">
      <c r="A4" s="7" t="s">
        <v>227</v>
      </c>
      <c r="B4" s="8" t="s">
        <v>248</v>
      </c>
      <c r="C4" s="8" t="s">
        <v>127</v>
      </c>
      <c r="D4" s="9" t="s">
        <v>79</v>
      </c>
      <c r="E4" s="8" t="s">
        <v>249</v>
      </c>
      <c r="F4" s="9" t="s">
        <v>250</v>
      </c>
      <c r="G4" s="9" t="s">
        <v>251</v>
      </c>
      <c r="H4" s="9" t="s">
        <v>252</v>
      </c>
      <c r="I4" s="7" t="s">
        <v>253</v>
      </c>
      <c r="J4" s="7" t="s">
        <v>130</v>
      </c>
    </row>
    <row r="5" ht="18" customHeight="1" spans="1:10">
      <c r="A5" s="10">
        <v>46195</v>
      </c>
      <c r="B5" s="11" t="s">
        <v>31</v>
      </c>
      <c r="C5" s="11" t="s">
        <v>95</v>
      </c>
      <c r="D5" s="12" t="str">
        <f>IFERROR(VLOOKUP(C5,MATERIALES!$A:$B,2,0),"")</f>
        <v>Papel fotografico 260g</v>
      </c>
      <c r="E5" s="11">
        <v>100</v>
      </c>
      <c r="F5" s="12" t="str">
        <f>IFERROR(VLOOKUP(C5,MATERIALES!$A:$F,6,0),"")</f>
        <v>hoja</v>
      </c>
      <c r="G5" s="13">
        <f>IFERROR(VLOOKUP(C5,MATERIALES!$A:$I,9,0),0)</f>
        <v>250</v>
      </c>
      <c r="H5" s="14">
        <f t="shared" ref="H5:H14" si="0">IFERROR(E5*G5,0)</f>
        <v>25000</v>
      </c>
      <c r="I5" s="11" t="s">
        <v>86</v>
      </c>
      <c r="J5" s="11" t="s">
        <v>254</v>
      </c>
    </row>
    <row r="6" ht="18" customHeight="1" spans="1:10">
      <c r="A6" s="15">
        <v>46195</v>
      </c>
      <c r="B6" s="16" t="s">
        <v>31</v>
      </c>
      <c r="C6" s="16" t="s">
        <v>98</v>
      </c>
      <c r="D6" s="16" t="str">
        <f>IFERROR(VLOOKUP(C6,MATERIALES!$A:$B,2,0),"")</f>
        <v>Papel fotografico 180g</v>
      </c>
      <c r="E6" s="16">
        <v>100</v>
      </c>
      <c r="F6" s="16" t="str">
        <f>IFERROR(VLOOKUP(C6,MATERIALES!$A:$F,6,0),"")</f>
        <v>hoja</v>
      </c>
      <c r="G6" s="17">
        <f>IFERROR(VLOOKUP(C6,MATERIALES!$A:$I,9,0),0)</f>
        <v>70</v>
      </c>
      <c r="H6" s="18">
        <f t="shared" si="0"/>
        <v>7000</v>
      </c>
      <c r="I6" s="16" t="s">
        <v>86</v>
      </c>
      <c r="J6" s="16" t="s">
        <v>254</v>
      </c>
    </row>
    <row r="7" ht="18" customHeight="1" spans="1:10">
      <c r="A7" s="10">
        <v>46195</v>
      </c>
      <c r="B7" s="11" t="s">
        <v>31</v>
      </c>
      <c r="C7" s="11" t="s">
        <v>100</v>
      </c>
      <c r="D7" s="12" t="str">
        <f>IFERROR(VLOOKUP(C7,MATERIALES!$A:$B,2,0),"")</f>
        <v>Vinil imprimible (pack 20u)</v>
      </c>
      <c r="E7" s="11">
        <v>40</v>
      </c>
      <c r="F7" s="12" t="str">
        <f>IFERROR(VLOOKUP(C7,MATERIALES!$A:$F,6,0),"")</f>
        <v>unidad</v>
      </c>
      <c r="G7" s="13">
        <f>IFERROR(VLOOKUP(C7,MATERIALES!$A:$I,9,0),0)</f>
        <v>400</v>
      </c>
      <c r="H7" s="14">
        <f t="shared" si="0"/>
        <v>16000</v>
      </c>
      <c r="I7" s="11" t="s">
        <v>86</v>
      </c>
      <c r="J7" s="11" t="s">
        <v>254</v>
      </c>
    </row>
    <row r="8" ht="18" customHeight="1" spans="1:10">
      <c r="A8" s="15">
        <v>46195</v>
      </c>
      <c r="B8" s="16" t="s">
        <v>31</v>
      </c>
      <c r="C8" s="16" t="s">
        <v>103</v>
      </c>
      <c r="D8" s="16" t="str">
        <f>IFERROR(VLOOKUP(C8,MATERIALES!$A:$B,2,0),"")</f>
        <v>Vinil textil por metro</v>
      </c>
      <c r="E8" s="16">
        <v>500</v>
      </c>
      <c r="F8" s="16" t="str">
        <f>IFERROR(VLOOKUP(C8,MATERIALES!$A:$F,6,0),"")</f>
        <v>centimetro</v>
      </c>
      <c r="G8" s="17">
        <f>IFERROR(VLOOKUP(C8,MATERIALES!$A:$I,9,0),0)</f>
        <v>60</v>
      </c>
      <c r="H8" s="18">
        <f t="shared" si="0"/>
        <v>30000</v>
      </c>
      <c r="I8" s="16" t="s">
        <v>86</v>
      </c>
      <c r="J8" s="16" t="s">
        <v>254</v>
      </c>
    </row>
    <row r="9" ht="18" customHeight="1" spans="1:10">
      <c r="A9" s="10">
        <v>46195</v>
      </c>
      <c r="B9" s="11" t="s">
        <v>31</v>
      </c>
      <c r="C9" s="11" t="s">
        <v>106</v>
      </c>
      <c r="D9" s="12" t="str">
        <f>IFERROR(VLOOKUP(C9,MATERIALES!$A:$B,2,0),"")</f>
        <v>Papel adhesivo</v>
      </c>
      <c r="E9" s="11">
        <v>50</v>
      </c>
      <c r="F9" s="12" t="str">
        <f>IFERROR(VLOOKUP(C9,MATERIALES!$A:$F,6,0),"")</f>
        <v>hoja</v>
      </c>
      <c r="G9" s="13">
        <f>IFERROR(VLOOKUP(C9,MATERIALES!$A:$I,9,0),0)</f>
        <v>180</v>
      </c>
      <c r="H9" s="14">
        <f t="shared" si="0"/>
        <v>9000</v>
      </c>
      <c r="I9" s="11" t="s">
        <v>86</v>
      </c>
      <c r="J9" s="11" t="s">
        <v>254</v>
      </c>
    </row>
    <row r="10" ht="18" customHeight="1" spans="1:10">
      <c r="A10" s="15">
        <v>46195</v>
      </c>
      <c r="B10" s="16" t="s">
        <v>31</v>
      </c>
      <c r="C10" s="16" t="s">
        <v>108</v>
      </c>
      <c r="D10" s="16" t="str">
        <f>IFERROR(VLOOKUP(C10,MATERIALES!$A:$B,2,0),"")</f>
        <v>Cartulina opalina</v>
      </c>
      <c r="E10" s="16">
        <v>40</v>
      </c>
      <c r="F10" s="16" t="str">
        <f>IFERROR(VLOOKUP(C10,MATERIALES!$A:$F,6,0),"")</f>
        <v>hoja</v>
      </c>
      <c r="G10" s="17">
        <f>IFERROR(VLOOKUP(C10,MATERIALES!$A:$I,9,0),0)</f>
        <v>150</v>
      </c>
      <c r="H10" s="18">
        <f t="shared" si="0"/>
        <v>6000</v>
      </c>
      <c r="I10" s="16" t="s">
        <v>86</v>
      </c>
      <c r="J10" s="16" t="s">
        <v>254</v>
      </c>
    </row>
    <row r="11" ht="18" customHeight="1" spans="1:10">
      <c r="A11" s="10">
        <v>46195</v>
      </c>
      <c r="B11" s="11" t="s">
        <v>31</v>
      </c>
      <c r="C11" s="11" t="s">
        <v>110</v>
      </c>
      <c r="D11" s="12" t="str">
        <f>IFERROR(VLOOKUP(C11,MATERIALES!$A:$B,2,0),"")</f>
        <v>Pegamento</v>
      </c>
      <c r="E11" s="11">
        <v>3</v>
      </c>
      <c r="F11" s="12" t="str">
        <f>IFERROR(VLOOKUP(C11,MATERIALES!$A:$F,6,0),"")</f>
        <v>uso</v>
      </c>
      <c r="G11" s="13">
        <f>IFERROR(VLOOKUP(C11,MATERIALES!$A:$I,9,0),0)</f>
        <v>50</v>
      </c>
      <c r="H11" s="14">
        <f t="shared" si="0"/>
        <v>150</v>
      </c>
      <c r="I11" s="11" t="s">
        <v>86</v>
      </c>
      <c r="J11" s="11" t="s">
        <v>254</v>
      </c>
    </row>
    <row r="12" ht="18" customHeight="1" spans="1:10">
      <c r="A12" s="15">
        <v>46195</v>
      </c>
      <c r="B12" s="16" t="s">
        <v>31</v>
      </c>
      <c r="C12" s="16" t="s">
        <v>113</v>
      </c>
      <c r="D12" s="16" t="str">
        <f>IFERROR(VLOOKUP(C12,MATERIALES!$A:$B,2,0),"")</f>
        <v>Palitos para toppers</v>
      </c>
      <c r="E12" s="16">
        <v>200</v>
      </c>
      <c r="F12" s="16" t="str">
        <f>IFERROR(VLOOKUP(C12,MATERIALES!$A:$F,6,0),"")</f>
        <v>unidad</v>
      </c>
      <c r="G12" s="17">
        <f>IFERROR(VLOOKUP(C12,MATERIALES!$A:$I,9,0),0)</f>
        <v>15</v>
      </c>
      <c r="H12" s="18">
        <f t="shared" si="0"/>
        <v>3000</v>
      </c>
      <c r="I12" s="16" t="s">
        <v>86</v>
      </c>
      <c r="J12" s="16" t="s">
        <v>254</v>
      </c>
    </row>
    <row r="13" ht="18" customHeight="1" spans="1:10">
      <c r="A13" s="10">
        <v>46195</v>
      </c>
      <c r="B13" s="11" t="s">
        <v>31</v>
      </c>
      <c r="C13" s="11" t="s">
        <v>116</v>
      </c>
      <c r="D13" s="12" t="str">
        <f>IFERROR(VLOOKUP(C13,MATERIALES!$A:$B,2,0),"")</f>
        <v>Tinta Epson (set completo)</v>
      </c>
      <c r="E13" s="11">
        <v>400</v>
      </c>
      <c r="F13" s="12" t="str">
        <f>IFERROR(VLOOKUP(C13,MATERIALES!$A:$F,6,0),"")</f>
        <v>uso</v>
      </c>
      <c r="G13" s="13">
        <f>IFERROR(VLOOKUP(C13,MATERIALES!$A:$I,9,0),0)</f>
        <v>175</v>
      </c>
      <c r="H13" s="14">
        <f t="shared" si="0"/>
        <v>70000</v>
      </c>
      <c r="I13" s="11" t="s">
        <v>86</v>
      </c>
      <c r="J13" s="11" t="s">
        <v>254</v>
      </c>
    </row>
    <row r="14" ht="18" customHeight="1" spans="1:10">
      <c r="A14" s="15">
        <v>46195</v>
      </c>
      <c r="B14" s="16" t="s">
        <v>31</v>
      </c>
      <c r="C14" s="16" t="s">
        <v>119</v>
      </c>
      <c r="D14" s="16" t="str">
        <f>IFERROR(VLOOKUP(C14,MATERIALES!$A:$B,2,0),"")</f>
        <v>Lona para pendones</v>
      </c>
      <c r="E14" s="16">
        <v>50000</v>
      </c>
      <c r="F14" s="16" t="str">
        <f>IFERROR(VLOOKUP(C14,MATERIALES!$A:$F,6,0),"")</f>
        <v>cm2</v>
      </c>
      <c r="G14" s="17">
        <f>IFERROR(VLOOKUP(C14,MATERIALES!$A:$I,9,0),0)</f>
        <v>0.8</v>
      </c>
      <c r="H14" s="18">
        <f t="shared" si="0"/>
        <v>40000</v>
      </c>
      <c r="I14" s="16" t="s">
        <v>86</v>
      </c>
      <c r="J14" s="16" t="s">
        <v>254</v>
      </c>
    </row>
  </sheetData>
  <dataValidations count="2">
    <dataValidation type="list" showErrorMessage="1" error="Selecciona una opcion de la lista" sqref="B5:B500">
      <formula1>CONFIGURACION!$E$14:$E$17</formula1>
    </dataValidation>
    <dataValidation type="list" showErrorMessage="1" error="Selecciona una opcion de la lista" sqref="C5:C500">
      <formula1>MATERIALES!$A$5:$A$100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CONFIGURACION</vt:lpstr>
      <vt:lpstr>MATERIALES</vt:lpstr>
      <vt:lpstr>RECETAS</vt:lpstr>
      <vt:lpstr>PRODUCTOS</vt:lpstr>
      <vt:lpstr>VENTAS</vt:lpstr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Francks</cp:lastModifiedBy>
  <dcterms:created xsi:type="dcterms:W3CDTF">2026-06-25T16:16:16Z</dcterms:created>
  <dcterms:modified xsi:type="dcterms:W3CDTF">2026-06-25T19:40:16Z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96FA8BEA38DF470CAA87869652F1AA9F_12</vt:lpwstr>
  </property>
  <property fmtid="{D5CDD505-2E9C-101B-9397-08002B2CF9AE}" pid="3" name="KSOProductBuildVer">
    <vt:lpwstr>3082-12.2.0.22549</vt:lpwstr>
  </property>
</Properties>
</file>