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770" activeTab="2"/>
  </bookViews>
  <sheets>
    <sheet name="DASHBOARD" sheetId="7" r:id="rId1"/>
    <sheet name="CONFIGURACION" sheetId="1" r:id="rId2"/>
    <sheet name="MATERIALES" sheetId="2" r:id="rId3"/>
    <sheet name="RECETAS" sheetId="3" r:id="rId4"/>
    <sheet name="PRODUCTOS" sheetId="4" r:id="rId5"/>
    <sheet name="VENTAS" sheetId="5" r:id="rId6"/>
    <sheet name="MOVIMIENTOS" sheetId="6" r:id="rId7"/>
    <sheet name="REPORT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<sst xmlns="http://schemas.openxmlformats.org/spreadsheetml/2006/main" count="583" uniqueCount="296">
  <si>
    <t>PAINT PRINT</t>
  </si>
  <si>
    <t>Sistema de Costos, Inventario y Produccion</t>
  </si>
  <si>
    <t>Tu Idea, Nuestra Inspiracion</t>
  </si>
  <si>
    <t>MODULOS DEL SISTEMA  —  Haz clic para navegar a cada hoja</t>
  </si>
  <si>
    <t>CONFIGURACION</t>
  </si>
  <si>
    <t>MATERIALES</t>
  </si>
  <si>
    <t>RECETAS</t>
  </si>
  <si>
    <t>PRODUCTOS</t>
  </si>
  <si>
    <t>VENTAS</t>
  </si>
  <si>
    <t>MOVIMIENTOS</t>
  </si>
  <si>
    <t>REPORTES</t>
  </si>
  <si>
    <t>FLUJO DE TRABAJO DIARIO</t>
  </si>
  <si>
    <t>CONFIGURACION  —  Define tarifas, margenes y gastos fijos del negocio</t>
  </si>
  <si>
    <t>MATERIALES  —  Registra cada insumo con costo, cantidad y unidad de medida</t>
  </si>
  <si>
    <t>RECETAS  —  Crea la formula de cada producto con sus materiales</t>
  </si>
  <si>
    <t>VENTAS  —  Anota cada venta — el costo se calcula automaticamente</t>
  </si>
  <si>
    <t>MOVIMIENTOS  —  Controla entradas y salidas de stock en tiempo real</t>
  </si>
  <si>
    <t>GUIA DE COLORES</t>
  </si>
  <si>
    <t>AZUL</t>
  </si>
  <si>
    <t>Celdas editables — Aqui ingresas tus datos</t>
  </si>
  <si>
    <t>VERDE</t>
  </si>
  <si>
    <t>Formulas automaticas — NO modificar, el sistema calcula</t>
  </si>
  <si>
    <t>AMARILLO</t>
  </si>
  <si>
    <t>Alerta de inventario — Revisa y repone tu stock</t>
  </si>
  <si>
    <t>ACCESO RAPIDO A CARPETAS</t>
  </si>
  <si>
    <t>Ecosistema Jefferson  —  C:\Users\PC Francks\Desktop\ECOSISTEMA-JEFFERSON\</t>
  </si>
  <si>
    <t>Paint Print  —  C:\Users\PC Francks\Desktop\ECOSISTEMA-JEFFERSON\EMPRESAS\PAINT-PRINT\</t>
  </si>
  <si>
    <t>PAINT PRINT -- CONFIGURACION DEL SISTEMA</t>
  </si>
  <si>
    <t>Modifica solo los valores en columna B (azul). | Contrasena de proteccion: paintprint</t>
  </si>
  <si>
    <t>PARAMETRO</t>
  </si>
  <si>
    <t>VALOR</t>
  </si>
  <si>
    <t>DESCRIPCION</t>
  </si>
  <si>
    <t>Valor hora de trabajo $</t>
  </si>
  <si>
    <t>CLP por hora. Cambia aqui y todos los costos se actualizan.</t>
  </si>
  <si>
    <t>Margen minimo %</t>
  </si>
  <si>
    <t>30% -- Precio mas bajo posible. Por debajo de este precio pierdes.</t>
  </si>
  <si>
    <t>Margen recomendado %</t>
  </si>
  <si>
    <t>55% -- Precio justo. Cubre todo y genera utilidad real.</t>
  </si>
  <si>
    <t>Margen ideal %</t>
  </si>
  <si>
    <t>70% -- Precio premium. Para productos de alta demanda o exclusivos.</t>
  </si>
  <si>
    <t>Gastos fijos % sobre costo</t>
  </si>
  <si>
    <t>15% -- Electricidad, desgaste maquinas, internet, etc.</t>
  </si>
  <si>
    <t>Moneda</t>
  </si>
  <si>
    <t>CLP</t>
  </si>
  <si>
    <t>Peso chileno. Todos los precios y costos en CLP.</t>
  </si>
  <si>
    <t>LISTAS DE REFERENCIA -- uso interno del sistema (no borrar)</t>
  </si>
  <si>
    <t>UNIDAD_COMPRA</t>
  </si>
  <si>
    <t>UNIDAD_CONSUMO</t>
  </si>
  <si>
    <t>CATEGORIA</t>
  </si>
  <si>
    <t>ESTADO_PEDIDO</t>
  </si>
  <si>
    <t>TIPO_MOV</t>
  </si>
  <si>
    <t>CANAL_VENTA</t>
  </si>
  <si>
    <t>UNIDAD_VENTA</t>
  </si>
  <si>
    <t/>
  </si>
  <si>
    <t>pack</t>
  </si>
  <si>
    <t>unidad</t>
  </si>
  <si>
    <t>Papel y cartulina</t>
  </si>
  <si>
    <t>Cotizado</t>
  </si>
  <si>
    <t>ENTRADA</t>
  </si>
  <si>
    <t>Instagram</t>
  </si>
  <si>
    <t>pieza</t>
  </si>
  <si>
    <t>metro</t>
  </si>
  <si>
    <t>hoja</t>
  </si>
  <si>
    <t>Vinil</t>
  </si>
  <si>
    <t>Aprobado</t>
  </si>
  <si>
    <t>SALIDA</t>
  </si>
  <si>
    <t>WhatsApp</t>
  </si>
  <si>
    <t>set 10u</t>
  </si>
  <si>
    <t>litro</t>
  </si>
  <si>
    <t>Tinta e insumos</t>
  </si>
  <si>
    <t>En produccion</t>
  </si>
  <si>
    <t>MERMA</t>
  </si>
  <si>
    <t>Referido</t>
  </si>
  <si>
    <t>set 20u</t>
  </si>
  <si>
    <t>rollo</t>
  </si>
  <si>
    <t>centimetro</t>
  </si>
  <si>
    <t>Adhesivos</t>
  </si>
  <si>
    <t>Entregado</t>
  </si>
  <si>
    <t>AJUSTE</t>
  </si>
  <si>
    <t>Directo</t>
  </si>
  <si>
    <t>set 50u</t>
  </si>
  <si>
    <t>frasco</t>
  </si>
  <si>
    <t>cm2</t>
  </si>
  <si>
    <t>Gran formato</t>
  </si>
  <si>
    <t>Pagado</t>
  </si>
  <si>
    <t>Feria</t>
  </si>
  <si>
    <t>set 100u</t>
  </si>
  <si>
    <t>caja</t>
  </si>
  <si>
    <t>ml</t>
  </si>
  <si>
    <t>Textil</t>
  </si>
  <si>
    <t>Archivado</t>
  </si>
  <si>
    <t>TikTok</t>
  </si>
  <si>
    <t>gramo</t>
  </si>
  <si>
    <t>Madera y plastico</t>
  </si>
  <si>
    <t>Otro</t>
  </si>
  <si>
    <t>par</t>
  </si>
  <si>
    <t>uso</t>
  </si>
  <si>
    <t>Otros</t>
  </si>
  <si>
    <t>Kit</t>
  </si>
  <si>
    <t>set</t>
  </si>
  <si>
    <t>saco</t>
  </si>
  <si>
    <t>resma</t>
  </si>
  <si>
    <t>PAINT PRINT -- CONTROL DE MATERIALES E INVENTARIO</t>
  </si>
  <si>
    <t>AZUL = Ingresa tu dato  |  VERDE = Formula automatica (no modificar)  |  Contrasena para desproteger: paintprint</t>
  </si>
  <si>
    <t>EQUIV. CONSUMO = cuantas unidades de consumo trae cada unidad de compra (ej: 1 pack = 20 hojas -&gt; 20)</t>
  </si>
  <si>
    <t>ID</t>
  </si>
  <si>
    <t>MATERIAL</t>
  </si>
  <si>
    <t>UNID. COMPRA</t>
  </si>
  <si>
    <t>EQUIV. CONSUMO</t>
  </si>
  <si>
    <t>UNID. CONSUMO</t>
  </si>
  <si>
    <t>CANT. COMPRADA</t>
  </si>
  <si>
    <t>COSTO TOTAL $</t>
  </si>
  <si>
    <t>COSTO / UNID $</t>
  </si>
  <si>
    <t>STOCK INICIAL</t>
  </si>
  <si>
    <t>ENTRADAS</t>
  </si>
  <si>
    <t>SALIDAS</t>
  </si>
  <si>
    <t>STOCK ACTUAL</t>
  </si>
  <si>
    <t>STOCK MINIMO</t>
  </si>
  <si>
    <t>ALERTA</t>
  </si>
  <si>
    <t>VALOR INV $</t>
  </si>
  <si>
    <t>PROVEEDOR</t>
  </si>
  <si>
    <t>FECHA COMPRA</t>
  </si>
  <si>
    <t>MP-001</t>
  </si>
  <si>
    <t>Papel fotografico 260g</t>
  </si>
  <si>
    <t>Papeleria Central</t>
  </si>
  <si>
    <t>MP-002</t>
  </si>
  <si>
    <t>Papel fotografico 180g</t>
  </si>
  <si>
    <t>MP-003</t>
  </si>
  <si>
    <t>Vinil imprimible (pack 20u)</t>
  </si>
  <si>
    <t>Insumos Graficos</t>
  </si>
  <si>
    <t>MP-004</t>
  </si>
  <si>
    <t>Vinil textil por metro</t>
  </si>
  <si>
    <t>Textiles Graficos</t>
  </si>
  <si>
    <t>MP-005</t>
  </si>
  <si>
    <t>Papel adhesivo</t>
  </si>
  <si>
    <t>MP-006</t>
  </si>
  <si>
    <t>Cartulina opalina</t>
  </si>
  <si>
    <t>MP-007</t>
  </si>
  <si>
    <t>Pegamento</t>
  </si>
  <si>
    <t>Ferreteria Local</t>
  </si>
  <si>
    <t>MP-008</t>
  </si>
  <si>
    <t>Palitos para toppers</t>
  </si>
  <si>
    <t>Cotillon Center</t>
  </si>
  <si>
    <t>MP-009</t>
  </si>
  <si>
    <t>Tinta Epson (set completo)</t>
  </si>
  <si>
    <t>Epson Chile</t>
  </si>
  <si>
    <t>MP-010</t>
  </si>
  <si>
    <t>Lona para pendones</t>
  </si>
  <si>
    <t>Imprenta Mayorista</t>
  </si>
  <si>
    <t>MAT-TEST</t>
  </si>
  <si>
    <t>Material de Prueba</t>
  </si>
  <si>
    <t>PRUEBA</t>
  </si>
  <si>
    <t>kg</t>
  </si>
  <si>
    <t>Proveedor Test</t>
  </si>
  <si>
    <t>2026-06-26</t>
  </si>
  <si>
    <t>PAINT PRINT -- RECETAS DE PRODUCTOS</t>
  </si>
  <si>
    <t>El nombre del producto en columna B debe existir exactamente igual en la hoja PRODUCTOS.</t>
  </si>
  <si>
    <t>ID RECETA</t>
  </si>
  <si>
    <t>PRODUCTO</t>
  </si>
  <si>
    <t>ID MATERIAL</t>
  </si>
  <si>
    <t>CANT. USADA</t>
  </si>
  <si>
    <t>SUBTOTAL $</t>
  </si>
  <si>
    <t>NOTA</t>
  </si>
  <si>
    <t>R-TOP-01</t>
  </si>
  <si>
    <t>Topper personalizado</t>
  </si>
  <si>
    <t>Media hoja 260g por topper</t>
  </si>
  <si>
    <t>R-TOP-02</t>
  </si>
  <si>
    <t>Pegamento para base</t>
  </si>
  <si>
    <t>R-TOP-03</t>
  </si>
  <si>
    <t>2 palitos por topper</t>
  </si>
  <si>
    <t>R-TOP-04</t>
  </si>
  <si>
    <t>Impresion color completa</t>
  </si>
  <si>
    <t>R-TAR-01</t>
  </si>
  <si>
    <t>Tarjetas presentacion</t>
  </si>
  <si>
    <t>9 hojas para 100 tarjetas</t>
  </si>
  <si>
    <t>R-TAR-02</t>
  </si>
  <si>
    <t>Impresion doble cara</t>
  </si>
  <si>
    <t>R-POL-01</t>
  </si>
  <si>
    <t>Polera sublimada</t>
  </si>
  <si>
    <t>60 cm vinil textil por polera</t>
  </si>
  <si>
    <t>R-POL-02</t>
  </si>
  <si>
    <t>Impresion transfer</t>
  </si>
  <si>
    <t>R-STI-01</t>
  </si>
  <si>
    <t>Sticker personalizado</t>
  </si>
  <si>
    <t>1 lamina vinil por set 20u</t>
  </si>
  <si>
    <t>R-STI-02</t>
  </si>
  <si>
    <t>Impresion a color</t>
  </si>
  <si>
    <t>R-PEN-01</t>
  </si>
  <si>
    <t>Pendon publicitario</t>
  </si>
  <si>
    <t>9600 cm2 por pendon 60x160</t>
  </si>
  <si>
    <t>R-PEN-02</t>
  </si>
  <si>
    <t>Impresion gran formato</t>
  </si>
  <si>
    <t>R-CAJ-01</t>
  </si>
  <si>
    <t>Caja personalizada</t>
  </si>
  <si>
    <t>2 hojas cartulina opalina</t>
  </si>
  <si>
    <t>R-CAJ-02</t>
  </si>
  <si>
    <t>Pegamento de armado</t>
  </si>
  <si>
    <t>R-CAJ-03</t>
  </si>
  <si>
    <t>Impresion diseno</t>
  </si>
  <si>
    <t>R-ETI-01</t>
  </si>
  <si>
    <t>Etiqueta adhesiva</t>
  </si>
  <si>
    <t>2 hojas papel adhesivo</t>
  </si>
  <si>
    <t>R-ETI-02</t>
  </si>
  <si>
    <t>Impresion etiquetas</t>
  </si>
  <si>
    <t>R-FLY-01</t>
  </si>
  <si>
    <t>Flyer volante</t>
  </si>
  <si>
    <t>1 hoja 180g por flyer</t>
  </si>
  <si>
    <t>R-FLY-02</t>
  </si>
  <si>
    <t>R-VIN-01</t>
  </si>
  <si>
    <t>Vinil personalizado</t>
  </si>
  <si>
    <t>1 lamina vinil imprimible</t>
  </si>
  <si>
    <t>R-VIN-02</t>
  </si>
  <si>
    <t>Impresion vinil</t>
  </si>
  <si>
    <t>REC-TEST</t>
  </si>
  <si>
    <t>Producto de Prueba</t>
  </si>
  <si>
    <t>Receta de prueba</t>
  </si>
  <si>
    <t>PAINT PRINT -- CATALOGO Y COSTOS DE PRODUCTOS</t>
  </si>
  <si>
    <t>PRECIO MINIMO(30%) / PRECIO JUSTO(55%) / PRECIO IDEAL(70%) se calculan desde CONFIGURACION automaticamente.</t>
  </si>
  <si>
    <t>CODIGO</t>
  </si>
  <si>
    <t>UNID. VENTA</t>
  </si>
  <si>
    <t>COSTO MAT $</t>
  </si>
  <si>
    <t>MIN DIS</t>
  </si>
  <si>
    <t>MIN IMP</t>
  </si>
  <si>
    <t>MIN COR</t>
  </si>
  <si>
    <t>MIN ARM</t>
  </si>
  <si>
    <t>MIN TOTAL</t>
  </si>
  <si>
    <t>$/HORA</t>
  </si>
  <si>
    <t>COSTO MO $</t>
  </si>
  <si>
    <t>% GF</t>
  </si>
  <si>
    <t>GASTOS FIJ $</t>
  </si>
  <si>
    <t>PRECIO MIN $</t>
  </si>
  <si>
    <t>PRECIO JUSTO $</t>
  </si>
  <si>
    <t>PRECIO IDEAL $</t>
  </si>
  <si>
    <t>PRECIO ACTUAL $</t>
  </si>
  <si>
    <t>MARGEN ACT %</t>
  </si>
  <si>
    <t>ESTADO</t>
  </si>
  <si>
    <t>PP-001</t>
  </si>
  <si>
    <t>Toppers para eventos y fiestas</t>
  </si>
  <si>
    <t>PP-002</t>
  </si>
  <si>
    <t>Topper premium iluminado</t>
  </si>
  <si>
    <t>Topper con estructura y luz LED</t>
  </si>
  <si>
    <t>PP-003</t>
  </si>
  <si>
    <t>Set de 100 tarjetas impresas</t>
  </si>
  <si>
    <t>PP-004</t>
  </si>
  <si>
    <t>Impresion digital por unidad</t>
  </si>
  <si>
    <t>PP-005</t>
  </si>
  <si>
    <t>Set 20 unidades personalizadas</t>
  </si>
  <si>
    <t>PP-006</t>
  </si>
  <si>
    <t>Set 20 stickers con diseno</t>
  </si>
  <si>
    <t>PP-007</t>
  </si>
  <si>
    <t>Vinil cortado con diseno</t>
  </si>
  <si>
    <t>PP-008</t>
  </si>
  <si>
    <t>Polera con diseno sublimado</t>
  </si>
  <si>
    <t>PP-009</t>
  </si>
  <si>
    <t>Pendon 60x160cm impreso</t>
  </si>
  <si>
    <t>PP-010</t>
  </si>
  <si>
    <t>Caja troquelada con diseno</t>
  </si>
  <si>
    <t>PROD-TEST</t>
  </si>
  <si>
    <t>Descripcion test</t>
  </si>
  <si>
    <t>PAINT PRINT -- REGISTRO DE VENTAS Y PEDIDOS</t>
  </si>
  <si>
    <t>Si el MARGEN es negativo o rojo -- el precio cobrado es menor que tu costo real.</t>
  </si>
  <si>
    <t>N PEDIDO</t>
  </si>
  <si>
    <t>FECHA</t>
  </si>
  <si>
    <t>CLIENTE</t>
  </si>
  <si>
    <t>CANT.</t>
  </si>
  <si>
    <t>PRECIO COBRADO $</t>
  </si>
  <si>
    <t>TOTAL VENTA $</t>
  </si>
  <si>
    <t>COSTO UNIT $</t>
  </si>
  <si>
    <t>UTILIDAD $</t>
  </si>
  <si>
    <t>MARGEN %</t>
  </si>
  <si>
    <t>MIN TRAB.</t>
  </si>
  <si>
    <t>GANANCIA/HORA $</t>
  </si>
  <si>
    <t>CANAL</t>
  </si>
  <si>
    <t>OBSERVACIONES</t>
  </si>
  <si>
    <t>P-001</t>
  </si>
  <si>
    <t>Cliente Ejemplo</t>
  </si>
  <si>
    <t>Pedido de ejemplo -- reemplazar con pedidos reales</t>
  </si>
  <si>
    <t>P-002</t>
  </si>
  <si>
    <t>-- Agrega tu proximo pedido aqui --</t>
  </si>
  <si>
    <t>TOTALES DEL MES</t>
  </si>
  <si>
    <t>PED-TEST</t>
  </si>
  <si>
    <t>Cliente Test</t>
  </si>
  <si>
    <t>ONLINE</t>
  </si>
  <si>
    <t>PAINT PRINT -- MOVIMIENTOS DE INVENTARIO</t>
  </si>
  <si>
    <t>TIPO: ENTRADA=compra  |  SALIDA=usado en produccion  |  MERMA=desperdicio  |  AJUSTE=correccion manual</t>
  </si>
  <si>
    <t>TIPO</t>
  </si>
  <si>
    <t>CANTIDAD</t>
  </si>
  <si>
    <t>UNIDAD</t>
  </si>
  <si>
    <t>COSTO/UNID $</t>
  </si>
  <si>
    <t>VALOR MOV $</t>
  </si>
  <si>
    <t>N PEDIDO REF</t>
  </si>
  <si>
    <t>Stock inicial al comenzar el sistema</t>
  </si>
  <si>
    <t>Movimiento de prueba</t>
  </si>
  <si>
    <t>REPORTES — PAINT PRINT</t>
  </si>
  <si>
    <t>Volver al Menu Principal</t>
  </si>
  <si>
    <t>Usa esta hoja para agregar reportes y analisis personalizados de tu negocio Paint Print.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</si>
</sst>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  <numFmt numFmtId="179" formatCode="&quot;$&quot;#,##0.00"/>
    <numFmt numFmtId="180" formatCode="&quot;$&quot;#,##0"/>
    <numFmt numFmtId="181" formatCode="0.0%"/>
  </numFmts>
  <fonts count="37">
    <font>
      <sz val="11"/>
      <name val="Calibri"/>
      <charset val="134"/>
    </font>
    <font>
      <b/>
      <sz val="16"/>
      <color rgb="FFFFC000"/>
      <name val="Calibri"/>
      <charset val="134"/>
    </font>
    <font>
      <b/>
      <sz val="10"/>
      <color rgb="FFFFC000"/>
      <name val="Calibri"/>
      <charset val="134"/>
    </font>
    <font>
      <i/>
      <sz val="10"/>
      <name val="Calibri"/>
      <charset val="134"/>
    </font>
    <font>
      <b/>
      <sz val="12"/>
      <color rgb="FFFFFFFF"/>
      <name val="Calibri"/>
      <charset val="134"/>
    </font>
    <font>
      <b/>
      <sz val="9"/>
      <color rgb="FFFFC000"/>
      <name val="Calibri"/>
      <charset val="134"/>
    </font>
    <font>
      <i/>
      <sz val="11"/>
      <color rgb="FF152035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i/>
      <sz val="11"/>
      <color rgb="FF0070C0"/>
      <name val="Calibri"/>
      <charset val="134"/>
    </font>
    <font>
      <i/>
      <sz val="11"/>
      <name val="Calibri"/>
      <charset val="134"/>
    </font>
    <font>
      <b/>
      <sz val="28"/>
      <color rgb="FFFFC000"/>
      <name val="Calibri"/>
      <charset val="134"/>
    </font>
    <font>
      <sz val="13"/>
      <color rgb="FFFFFFFF"/>
      <name val="Calibri"/>
      <charset val="134"/>
    </font>
    <font>
      <i/>
      <sz val="11"/>
      <color rgb="FFFFC000"/>
      <name val="Calibri"/>
      <charset val="134"/>
    </font>
    <font>
      <sz val="10"/>
      <color rgb="FF1F3864"/>
      <name val="Calibri"/>
      <charset val="134"/>
    </font>
    <font>
      <b/>
      <sz val="10"/>
      <color rgb="FF1F3864"/>
      <name val="Calibri"/>
      <charset val="134"/>
    </font>
    <font>
      <u/>
      <sz val="10"/>
      <color rgb="FF2E75B6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52035"/>
        <bgColor indexed="64"/>
      </patternFill>
    </fill>
    <fill>
      <patternFill patternType="solid">
        <fgColor rgb="FFFAE1E1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AEBDC"/>
        <bgColor indexed="64"/>
      </patternFill>
    </fill>
    <fill>
      <patternFill patternType="solid">
        <fgColor rgb="FFFFF0E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F5E1"/>
        <bgColor indexed="64"/>
      </patternFill>
    </fill>
    <fill>
      <patternFill patternType="solid">
        <fgColor rgb="FFF0FAEB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3C3C50"/>
        <bgColor indexed="64"/>
      </patternFill>
    </fill>
    <fill>
      <patternFill patternType="solid">
        <fgColor rgb="FFDCF0F0"/>
        <bgColor indexed="64"/>
      </patternFill>
    </fill>
    <fill>
      <patternFill patternType="solid">
        <fgColor rgb="FFF0FAF0"/>
        <bgColor indexed="64"/>
      </patternFill>
    </fill>
    <fill>
      <patternFill patternType="solid">
        <fgColor rgb="FFE1EBFA"/>
        <bgColor indexed="64"/>
      </patternFill>
    </fill>
    <fill>
      <patternFill patternType="solid">
        <fgColor rgb="FFEBF5FF"/>
        <bgColor indexed="64"/>
      </patternFill>
    </fill>
    <fill>
      <patternFill patternType="solid">
        <fgColor rgb="FFFFF8C8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D7E6FA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BF1F7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2F2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0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7" fillId="32" borderId="6" applyNumberFormat="0" applyAlignment="0" applyProtection="0">
      <alignment vertical="center"/>
    </xf>
    <xf numFmtId="0" fontId="28" fillId="32" borderId="5" applyNumberFormat="0" applyAlignment="0" applyProtection="0">
      <alignment vertical="center"/>
    </xf>
    <xf numFmtId="0" fontId="29" fillId="33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6" fillId="50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6" fillId="54" borderId="0" applyNumberFormat="0" applyBorder="0" applyAlignment="0" applyProtection="0">
      <alignment vertical="center"/>
    </xf>
    <xf numFmtId="0" fontId="36" fillId="55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6" fillId="59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</cellStyleXfs>
  <cellXfs count="74">
    <xf numFmtId="0" fontId="0" fillId="0" borderId="0" xfId="0" applyNumberFormat="1" applyFont="1" applyProtection="1"/>
    <xf numFmtId="0" fontId="1" fillId="2" borderId="0" xfId="0" applyNumberFormat="1" applyFont="1" applyFill="1" applyAlignment="1" applyProtection="1">
      <alignment horizontal="center" vertical="center"/>
    </xf>
    <xf numFmtId="0" fontId="2" fillId="2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Alignment="1" applyProtection="1">
      <alignment vertical="center"/>
    </xf>
    <xf numFmtId="0" fontId="4" fillId="3" borderId="0" xfId="0" applyNumberFormat="1" applyFont="1" applyFill="1" applyProtection="1"/>
    <xf numFmtId="0" fontId="0" fillId="3" borderId="0" xfId="0" applyNumberFormat="1" applyFont="1" applyFill="1" applyProtection="1"/>
    <xf numFmtId="0" fontId="5" fillId="2" borderId="0" xfId="0" applyNumberFormat="1" applyFont="1" applyFill="1" applyAlignment="1" applyProtection="1">
      <alignment horizontal="center" vertical="center"/>
    </xf>
    <xf numFmtId="0" fontId="0" fillId="2" borderId="0" xfId="0" applyNumberFormat="1" applyFont="1" applyFill="1" applyProtection="1"/>
    <xf numFmtId="0" fontId="5" fillId="2" borderId="0" xfId="0" applyNumberFormat="1" applyFont="1" applyFill="1" applyAlignment="1" applyProtection="1">
      <alignment horizontal="right" vertical="center"/>
    </xf>
    <xf numFmtId="0" fontId="6" fillId="4" borderId="0" xfId="0" applyNumberFormat="1" applyFont="1" applyFill="1" applyProtection="1"/>
    <xf numFmtId="0" fontId="0" fillId="4" borderId="0" xfId="0" applyNumberFormat="1" applyFont="1" applyFill="1" applyProtection="1"/>
    <xf numFmtId="0" fontId="6" fillId="5" borderId="0" xfId="0" applyNumberFormat="1" applyFont="1" applyFill="1" applyProtection="1"/>
    <xf numFmtId="0" fontId="0" fillId="5" borderId="0" xfId="0" applyNumberFormat="1" applyFont="1" applyFill="1" applyProtection="1"/>
    <xf numFmtId="0" fontId="7" fillId="3" borderId="0" xfId="0" applyNumberFormat="1" applyFont="1" applyFill="1" applyAlignment="1" applyProtection="1">
      <alignment horizontal="center" vertical="center" wrapText="1"/>
    </xf>
    <xf numFmtId="0" fontId="7" fillId="6" borderId="0" xfId="0" applyNumberFormat="1" applyFont="1" applyFill="1" applyAlignment="1" applyProtection="1">
      <alignment horizontal="center" vertical="center" wrapText="1"/>
    </xf>
    <xf numFmtId="0" fontId="7" fillId="7" borderId="0" xfId="0" applyNumberFormat="1" applyFont="1" applyFill="1" applyAlignment="1" applyProtection="1">
      <alignment horizontal="center" vertical="center" wrapText="1"/>
    </xf>
    <xf numFmtId="178" fontId="0" fillId="8" borderId="0" xfId="0" applyNumberFormat="1" applyFont="1" applyFill="1" applyProtection="1">
      <protection locked="0"/>
    </xf>
    <xf numFmtId="0" fontId="0" fillId="8" borderId="0" xfId="0" applyNumberFormat="1" applyFont="1" applyFill="1" applyProtection="1">
      <protection locked="0"/>
    </xf>
    <xf numFmtId="0" fontId="0" fillId="9" borderId="0" xfId="0" applyNumberFormat="1" applyFont="1" applyFill="1" applyProtection="1"/>
    <xf numFmtId="179" fontId="0" fillId="9" borderId="0" xfId="0" applyNumberFormat="1" applyFont="1" applyFill="1" applyProtection="1"/>
    <xf numFmtId="180" fontId="0" fillId="9" borderId="0" xfId="0" applyNumberFormat="1" applyFont="1" applyFill="1" applyProtection="1"/>
    <xf numFmtId="0" fontId="6" fillId="10" borderId="0" xfId="0" applyNumberFormat="1" applyFont="1" applyFill="1" applyProtection="1"/>
    <xf numFmtId="0" fontId="0" fillId="10" borderId="0" xfId="0" applyNumberFormat="1" applyFont="1" applyFill="1" applyProtection="1"/>
    <xf numFmtId="0" fontId="6" fillId="11" borderId="0" xfId="0" applyNumberFormat="1" applyFont="1" applyFill="1" applyProtection="1"/>
    <xf numFmtId="0" fontId="0" fillId="11" borderId="0" xfId="0" applyNumberFormat="1" applyFont="1" applyFill="1" applyProtection="1"/>
    <xf numFmtId="180" fontId="0" fillId="8" borderId="0" xfId="0" applyNumberFormat="1" applyFont="1" applyFill="1" applyProtection="1">
      <protection locked="0"/>
    </xf>
    <xf numFmtId="180" fontId="8" fillId="9" borderId="0" xfId="0" applyNumberFormat="1" applyFont="1" applyFill="1" applyProtection="1"/>
    <xf numFmtId="0" fontId="0" fillId="12" borderId="0" xfId="0" applyNumberFormat="1" applyFont="1" applyFill="1" applyProtection="1">
      <protection locked="0"/>
    </xf>
    <xf numFmtId="0" fontId="9" fillId="8" borderId="0" xfId="0" applyNumberFormat="1" applyFont="1" applyFill="1" applyProtection="1">
      <protection locked="0"/>
    </xf>
    <xf numFmtId="0" fontId="0" fillId="0" borderId="0" xfId="0" applyNumberFormat="1" applyFont="1" applyProtection="1">
      <protection locked="0"/>
    </xf>
    <xf numFmtId="181" fontId="8" fillId="9" borderId="0" xfId="0" applyNumberFormat="1" applyFont="1" applyFill="1" applyProtection="1"/>
    <xf numFmtId="181" fontId="0" fillId="9" borderId="0" xfId="0" applyNumberFormat="1" applyFont="1" applyFill="1" applyProtection="1"/>
    <xf numFmtId="0" fontId="5" fillId="13" borderId="0" xfId="0" applyNumberFormat="1" applyFont="1" applyFill="1" applyAlignment="1" applyProtection="1">
      <alignment horizontal="center" vertical="center"/>
    </xf>
    <xf numFmtId="0" fontId="10" fillId="8" borderId="0" xfId="0" applyNumberFormat="1" applyFont="1" applyFill="1" applyProtection="1">
      <protection locked="0"/>
    </xf>
    <xf numFmtId="0" fontId="7" fillId="8" borderId="0" xfId="0" applyNumberFormat="1" applyFont="1" applyFill="1" applyProtection="1">
      <protection locked="0"/>
    </xf>
    <xf numFmtId="0" fontId="0" fillId="3" borderId="0" xfId="0" applyNumberFormat="1" applyFont="1" applyFill="1" applyProtection="1">
      <protection locked="0"/>
    </xf>
    <xf numFmtId="180" fontId="7" fillId="9" borderId="0" xfId="0" applyNumberFormat="1" applyFont="1" applyFill="1" applyProtection="1"/>
    <xf numFmtId="181" fontId="7" fillId="9" borderId="0" xfId="0" applyNumberFormat="1" applyFont="1" applyFill="1" applyProtection="1"/>
    <xf numFmtId="0" fontId="6" fillId="14" borderId="0" xfId="0" applyNumberFormat="1" applyFont="1" applyFill="1" applyProtection="1"/>
    <xf numFmtId="0" fontId="0" fillId="14" borderId="0" xfId="0" applyNumberFormat="1" applyFont="1" applyFill="1" applyProtection="1"/>
    <xf numFmtId="0" fontId="6" fillId="15" borderId="0" xfId="0" applyNumberFormat="1" applyFont="1" applyFill="1" applyProtection="1"/>
    <xf numFmtId="0" fontId="0" fillId="15" borderId="0" xfId="0" applyNumberFormat="1" applyFont="1" applyFill="1" applyProtection="1"/>
    <xf numFmtId="9" fontId="0" fillId="9" borderId="0" xfId="0" applyNumberFormat="1" applyFont="1" applyFill="1" applyProtection="1"/>
    <xf numFmtId="180" fontId="8" fillId="8" borderId="0" xfId="0" applyNumberFormat="1" applyFont="1" applyFill="1" applyProtection="1">
      <protection locked="0"/>
    </xf>
    <xf numFmtId="0" fontId="7" fillId="16" borderId="0" xfId="0" applyNumberFormat="1" applyFont="1" applyFill="1" applyAlignment="1" applyProtection="1">
      <alignment horizontal="center" vertical="center" wrapText="1"/>
    </xf>
    <xf numFmtId="0" fontId="7" fillId="17" borderId="0" xfId="0" applyNumberFormat="1" applyFont="1" applyFill="1" applyAlignment="1" applyProtection="1">
      <alignment horizontal="center" vertical="center" wrapText="1"/>
    </xf>
    <xf numFmtId="0" fontId="6" fillId="18" borderId="0" xfId="0" applyNumberFormat="1" applyFont="1" applyFill="1" applyProtection="1"/>
    <xf numFmtId="0" fontId="0" fillId="18" borderId="0" xfId="0" applyNumberFormat="1" applyFont="1" applyFill="1" applyProtection="1"/>
    <xf numFmtId="0" fontId="6" fillId="19" borderId="0" xfId="0" applyNumberFormat="1" applyFont="1" applyFill="1" applyProtection="1"/>
    <xf numFmtId="0" fontId="0" fillId="19" borderId="0" xfId="0" applyNumberFormat="1" applyFont="1" applyFill="1" applyProtection="1"/>
    <xf numFmtId="0" fontId="6" fillId="20" borderId="0" xfId="0" applyNumberFormat="1" applyFont="1" applyFill="1" applyProtection="1"/>
    <xf numFmtId="0" fontId="0" fillId="20" borderId="0" xfId="0" applyNumberFormat="1" applyFont="1" applyFill="1" applyProtection="1"/>
    <xf numFmtId="0" fontId="6" fillId="21" borderId="0" xfId="0" applyNumberFormat="1" applyFont="1" applyFill="1" applyProtection="1"/>
    <xf numFmtId="0" fontId="0" fillId="21" borderId="0" xfId="0" applyNumberFormat="1" applyFont="1" applyFill="1" applyProtection="1"/>
    <xf numFmtId="0" fontId="6" fillId="22" borderId="0" xfId="0" applyNumberFormat="1" applyFont="1" applyFill="1" applyProtection="1"/>
    <xf numFmtId="0" fontId="0" fillId="22" borderId="0" xfId="0" applyNumberFormat="1" applyFont="1" applyFill="1" applyProtection="1"/>
    <xf numFmtId="0" fontId="0" fillId="23" borderId="0" xfId="0" applyNumberFormat="1" applyFont="1" applyFill="1" applyProtection="1"/>
    <xf numFmtId="9" fontId="8" fillId="8" borderId="0" xfId="0" applyNumberFormat="1" applyFont="1" applyFill="1" applyProtection="1">
      <protection locked="0"/>
    </xf>
    <xf numFmtId="0" fontId="8" fillId="24" borderId="0" xfId="0" applyNumberFormat="1" applyFont="1" applyFill="1" applyProtection="1"/>
    <xf numFmtId="0" fontId="7" fillId="3" borderId="0" xfId="0" applyNumberFormat="1" applyFont="1" applyFill="1" applyProtection="1"/>
    <xf numFmtId="0" fontId="0" fillId="12" borderId="0" xfId="0" applyNumberFormat="1" applyFont="1" applyFill="1" applyProtection="1"/>
    <xf numFmtId="0" fontId="11" fillId="2" borderId="0" xfId="0" applyNumberFormat="1" applyFont="1" applyFill="1" applyAlignment="1" applyProtection="1">
      <alignment horizontal="center" vertical="center"/>
    </xf>
    <xf numFmtId="0" fontId="12" fillId="2" borderId="0" xfId="0" applyNumberFormat="1" applyFont="1" applyFill="1" applyAlignment="1" applyProtection="1">
      <alignment horizontal="center" vertical="center"/>
    </xf>
    <xf numFmtId="0" fontId="13" fillId="2" borderId="0" xfId="0" applyNumberFormat="1" applyFont="1" applyFill="1" applyAlignment="1" applyProtection="1">
      <alignment horizontal="center" vertical="center"/>
    </xf>
    <xf numFmtId="0" fontId="7" fillId="25" borderId="0" xfId="0" applyNumberFormat="1" applyFont="1" applyFill="1" applyAlignment="1" applyProtection="1">
      <alignment horizontal="center" vertical="center"/>
    </xf>
    <xf numFmtId="0" fontId="7" fillId="26" borderId="0" xfId="0" applyNumberFormat="1" applyFont="1" applyFill="1" applyAlignment="1" applyProtection="1">
      <alignment horizontal="center" vertical="center"/>
    </xf>
    <xf numFmtId="0" fontId="7" fillId="27" borderId="0" xfId="0" applyNumberFormat="1" applyFont="1" applyFill="1" applyAlignment="1" applyProtection="1">
      <alignment horizontal="center" vertical="center"/>
    </xf>
    <xf numFmtId="0" fontId="14" fillId="28" borderId="0" xfId="0" applyNumberFormat="1" applyFont="1" applyFill="1" applyAlignment="1" applyProtection="1">
      <alignment vertical="center"/>
    </xf>
    <xf numFmtId="0" fontId="14" fillId="13" borderId="0" xfId="0" applyNumberFormat="1" applyFont="1" applyFill="1" applyAlignment="1" applyProtection="1">
      <alignment vertical="center"/>
    </xf>
    <xf numFmtId="0" fontId="15" fillId="8" borderId="0" xfId="0" applyNumberFormat="1" applyFont="1" applyFill="1" applyAlignment="1" applyProtection="1">
      <alignment horizontal="center" vertical="center"/>
    </xf>
    <xf numFmtId="0" fontId="14" fillId="13" borderId="1" xfId="0" applyNumberFormat="1" applyFont="1" applyFill="1" applyBorder="1" applyAlignment="1" applyProtection="1">
      <alignment vertical="center"/>
    </xf>
    <xf numFmtId="0" fontId="15" fillId="9" borderId="0" xfId="0" applyNumberFormat="1" applyFont="1" applyFill="1" applyAlignment="1" applyProtection="1">
      <alignment horizontal="center" vertical="center"/>
    </xf>
    <xf numFmtId="0" fontId="15" fillId="29" borderId="0" xfId="0" applyNumberFormat="1" applyFont="1" applyFill="1" applyAlignment="1" applyProtection="1">
      <alignment horizontal="center" vertical="center"/>
    </xf>
    <xf numFmtId="0" fontId="16" fillId="13" borderId="0" xfId="0" applyNumberFormat="1" applyFont="1" applyFill="1" applyAlignment="1" applyProtection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" TargetMode="External"/><Relationship Id="rId1" Type="http://schemas.openxmlformats.org/officeDocument/2006/relationships/hyperlink" Target="../..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D8" sqref="D8:E8"/>
    </sheetView>
  </sheetViews>
  <sheetFormatPr defaultColWidth="9" defaultRowHeight="15"/>
  <cols>
    <col min="1" max="1" width="2" customWidth="1"/>
    <col min="2" max="9" width="22" customWidth="1"/>
    <col min="10" max="10" width="2" customWidth="1"/>
  </cols>
  <sheetData>
    <row r="1" ht="10" customHeight="1" spans="1:10">
      <c r="A1" s="60"/>
      <c r="B1" s="60"/>
      <c r="C1" s="60"/>
      <c r="D1" s="60"/>
      <c r="E1" s="60"/>
      <c r="F1" s="60"/>
      <c r="G1" s="60"/>
      <c r="H1" s="60"/>
      <c r="I1" s="60"/>
      <c r="J1" s="60"/>
    </row>
    <row r="2" ht="50" customHeight="1" spans="1:10">
      <c r="A2" s="60"/>
      <c r="B2" s="61" t="s">
        <v>0</v>
      </c>
      <c r="C2" s="61" t="s">
        <v>0</v>
      </c>
      <c r="D2" s="61" t="s">
        <v>0</v>
      </c>
      <c r="E2" s="61" t="s">
        <v>0</v>
      </c>
      <c r="F2" s="61" t="s">
        <v>0</v>
      </c>
      <c r="G2" s="61" t="s">
        <v>0</v>
      </c>
      <c r="H2" s="61" t="s">
        <v>0</v>
      </c>
      <c r="I2" s="61" t="s">
        <v>0</v>
      </c>
      <c r="J2" s="60"/>
    </row>
    <row r="3" ht="28" customHeight="1" spans="1:10">
      <c r="A3" s="60"/>
      <c r="B3" s="62" t="s">
        <v>1</v>
      </c>
      <c r="C3" s="62" t="s">
        <v>1</v>
      </c>
      <c r="D3" s="62" t="s">
        <v>1</v>
      </c>
      <c r="E3" s="62" t="s">
        <v>1</v>
      </c>
      <c r="F3" s="62" t="s">
        <v>1</v>
      </c>
      <c r="G3" s="62" t="s">
        <v>1</v>
      </c>
      <c r="H3" s="62" t="s">
        <v>1</v>
      </c>
      <c r="I3" s="62" t="s">
        <v>1</v>
      </c>
      <c r="J3" s="60"/>
    </row>
    <row r="4" ht="22" customHeight="1" spans="1:10">
      <c r="A4" s="60"/>
      <c r="B4" s="63" t="s">
        <v>2</v>
      </c>
      <c r="C4" s="63" t="s">
        <v>2</v>
      </c>
      <c r="D4" s="63" t="s">
        <v>2</v>
      </c>
      <c r="E4" s="63" t="s">
        <v>2</v>
      </c>
      <c r="F4" s="63" t="s">
        <v>2</v>
      </c>
      <c r="G4" s="63" t="s">
        <v>2</v>
      </c>
      <c r="H4" s="63" t="s">
        <v>2</v>
      </c>
      <c r="I4" s="63" t="s">
        <v>2</v>
      </c>
      <c r="J4" s="60"/>
    </row>
    <row r="5" ht="12" customHeight="1" spans="1:10">
      <c r="A5" s="60"/>
      <c r="B5" s="60"/>
      <c r="C5" s="60"/>
      <c r="D5" s="60"/>
      <c r="E5" s="60"/>
      <c r="F5" s="60"/>
      <c r="G5" s="60"/>
      <c r="H5" s="60"/>
      <c r="I5" s="60"/>
      <c r="J5" s="60"/>
    </row>
    <row r="6" ht="24" customHeight="1" spans="1:10">
      <c r="A6" s="60"/>
      <c r="B6" s="64" t="s">
        <v>3</v>
      </c>
      <c r="C6" s="64" t="s">
        <v>3</v>
      </c>
      <c r="D6" s="64" t="s">
        <v>3</v>
      </c>
      <c r="E6" s="64" t="s">
        <v>3</v>
      </c>
      <c r="F6" s="64" t="s">
        <v>3</v>
      </c>
      <c r="G6" s="64" t="s">
        <v>3</v>
      </c>
      <c r="H6" s="64" t="s">
        <v>3</v>
      </c>
      <c r="I6" s="64" t="s">
        <v>3</v>
      </c>
      <c r="J6" s="60"/>
    </row>
    <row r="7" ht="5" customHeight="1" spans="1:10">
      <c r="A7" s="60"/>
      <c r="B7" s="60"/>
      <c r="C7" s="60"/>
      <c r="D7" s="60"/>
      <c r="E7" s="60"/>
      <c r="F7" s="60"/>
      <c r="G7" s="60"/>
      <c r="H7" s="60"/>
      <c r="I7" s="60"/>
      <c r="J7" s="60"/>
    </row>
    <row r="8" ht="40" customHeight="1" spans="1:10">
      <c r="A8" s="60"/>
      <c r="B8" s="65" t="str">
        <f>HYPERLINK("#CONFIGURACION!A1","CONFIGURACION")</f>
        <v>CONFIGURACION</v>
      </c>
      <c r="C8" s="65" t="s">
        <v>4</v>
      </c>
      <c r="D8" s="65" t="str">
        <f>HYPERLINK("#MATERIALES!A1","MATERIALES")</f>
        <v>MATERIALES</v>
      </c>
      <c r="E8" s="65" t="s">
        <v>5</v>
      </c>
      <c r="F8" s="65" t="str">
        <f>HYPERLINK("#RECETAS!A1","RECETAS")</f>
        <v>RECETAS</v>
      </c>
      <c r="G8" s="65" t="s">
        <v>6</v>
      </c>
      <c r="H8" s="65" t="str">
        <f>HYPERLINK("#PRODUCTOS!A1","PRODUCTOS")</f>
        <v>PRODUCTOS</v>
      </c>
      <c r="I8" s="65" t="s">
        <v>7</v>
      </c>
      <c r="J8" s="60"/>
    </row>
    <row r="9" ht="6" customHeight="1" spans="1:10">
      <c r="A9" s="60"/>
      <c r="B9" s="60"/>
      <c r="C9" s="60"/>
      <c r="D9" s="60"/>
      <c r="E9" s="60"/>
      <c r="F9" s="60"/>
      <c r="G9" s="60"/>
      <c r="H9" s="60"/>
      <c r="I9" s="60"/>
      <c r="J9" s="60"/>
    </row>
    <row r="10" ht="40" customHeight="1" spans="1:10">
      <c r="A10" s="60"/>
      <c r="B10" s="66" t="str">
        <f>HYPERLINK("#VENTAS!A1","VENTAS")</f>
        <v>VENTAS</v>
      </c>
      <c r="C10" s="66" t="s">
        <v>8</v>
      </c>
      <c r="D10" s="66" t="str">
        <f>HYPERLINK("#MOVIMIENTOS!A1","MOVIMIENTOS")</f>
        <v>MOVIMIENTOS</v>
      </c>
      <c r="E10" s="66" t="s">
        <v>9</v>
      </c>
      <c r="F10" s="66" t="str">
        <f>HYPERLINK("#REPORTES!A1","REPORTES")</f>
        <v>REPORTES</v>
      </c>
      <c r="G10" s="66" t="s">
        <v>10</v>
      </c>
      <c r="H10" s="60"/>
      <c r="I10" s="60"/>
      <c r="J10" s="60"/>
    </row>
    <row r="11" ht="12" customHeight="1" spans="1:10">
      <c r="A11" s="60"/>
      <c r="B11" s="60"/>
      <c r="C11" s="60"/>
      <c r="D11" s="60"/>
      <c r="E11" s="60"/>
      <c r="F11" s="60"/>
      <c r="G11" s="60"/>
      <c r="H11" s="60"/>
      <c r="I11" s="60"/>
      <c r="J11" s="60"/>
    </row>
    <row r="12" ht="24" customHeight="1" spans="1:10">
      <c r="A12" s="60"/>
      <c r="B12" s="64" t="s">
        <v>11</v>
      </c>
      <c r="C12" s="64" t="s">
        <v>11</v>
      </c>
      <c r="D12" s="64" t="s">
        <v>11</v>
      </c>
      <c r="E12" s="64" t="s">
        <v>11</v>
      </c>
      <c r="F12" s="64" t="s">
        <v>11</v>
      </c>
      <c r="G12" s="64" t="s">
        <v>11</v>
      </c>
      <c r="H12" s="64" t="s">
        <v>11</v>
      </c>
      <c r="I12" s="64" t="s">
        <v>11</v>
      </c>
      <c r="J12" s="60"/>
    </row>
    <row r="13" ht="26" customHeight="1" spans="1:10">
      <c r="A13" s="60"/>
      <c r="B13" s="6" t="str">
        <f>HYPERLINK("#CONFIGURACION!A1","PASO 1")</f>
        <v>PASO 1</v>
      </c>
      <c r="C13" s="67" t="s">
        <v>12</v>
      </c>
      <c r="D13" s="67" t="s">
        <v>12</v>
      </c>
      <c r="E13" s="67" t="s">
        <v>12</v>
      </c>
      <c r="F13" s="67" t="s">
        <v>12</v>
      </c>
      <c r="G13" s="67" t="s">
        <v>12</v>
      </c>
      <c r="H13" s="67" t="s">
        <v>12</v>
      </c>
      <c r="I13" s="67" t="s">
        <v>12</v>
      </c>
      <c r="J13" s="60"/>
    </row>
    <row r="14" ht="26" customHeight="1" spans="1:10">
      <c r="A14" s="60"/>
      <c r="B14" s="6" t="str">
        <f>HYPERLINK("#MATERIALES!A1","PASO 2")</f>
        <v>PASO 2</v>
      </c>
      <c r="C14" s="68" t="s">
        <v>13</v>
      </c>
      <c r="D14" s="68" t="s">
        <v>13</v>
      </c>
      <c r="E14" s="68" t="s">
        <v>13</v>
      </c>
      <c r="F14" s="68" t="s">
        <v>13</v>
      </c>
      <c r="G14" s="68" t="s">
        <v>13</v>
      </c>
      <c r="H14" s="68" t="s">
        <v>13</v>
      </c>
      <c r="I14" s="68" t="s">
        <v>13</v>
      </c>
      <c r="J14" s="60"/>
    </row>
    <row r="15" ht="26" customHeight="1" spans="1:10">
      <c r="A15" s="60"/>
      <c r="B15" s="6" t="str">
        <f>HYPERLINK("#RECETAS!A1","PASO 3")</f>
        <v>PASO 3</v>
      </c>
      <c r="C15" s="67" t="s">
        <v>14</v>
      </c>
      <c r="D15" s="67" t="s">
        <v>14</v>
      </c>
      <c r="E15" s="67" t="s">
        <v>14</v>
      </c>
      <c r="F15" s="67" t="s">
        <v>14</v>
      </c>
      <c r="G15" s="67" t="s">
        <v>14</v>
      </c>
      <c r="H15" s="67" t="s">
        <v>14</v>
      </c>
      <c r="I15" s="67" t="s">
        <v>14</v>
      </c>
      <c r="J15" s="60"/>
    </row>
    <row r="16" ht="26" customHeight="1" spans="1:10">
      <c r="A16" s="60"/>
      <c r="B16" s="6" t="str">
        <f>HYPERLINK("#VENTAS!A1","PASO 4")</f>
        <v>PASO 4</v>
      </c>
      <c r="C16" s="68" t="s">
        <v>15</v>
      </c>
      <c r="D16" s="68" t="s">
        <v>15</v>
      </c>
      <c r="E16" s="68" t="s">
        <v>15</v>
      </c>
      <c r="F16" s="68" t="s">
        <v>15</v>
      </c>
      <c r="G16" s="68" t="s">
        <v>15</v>
      </c>
      <c r="H16" s="68" t="s">
        <v>15</v>
      </c>
      <c r="I16" s="68" t="s">
        <v>15</v>
      </c>
      <c r="J16" s="60"/>
    </row>
    <row r="17" ht="26" customHeight="1" spans="1:10">
      <c r="A17" s="60"/>
      <c r="B17" s="6" t="str">
        <f>HYPERLINK("#MOVIMIENTOS!A1","PASO 5")</f>
        <v>PASO 5</v>
      </c>
      <c r="C17" s="67" t="s">
        <v>16</v>
      </c>
      <c r="D17" s="67" t="s">
        <v>16</v>
      </c>
      <c r="E17" s="67" t="s">
        <v>16</v>
      </c>
      <c r="F17" s="67" t="s">
        <v>16</v>
      </c>
      <c r="G17" s="67" t="s">
        <v>16</v>
      </c>
      <c r="H17" s="67" t="s">
        <v>16</v>
      </c>
      <c r="I17" s="67" t="s">
        <v>16</v>
      </c>
      <c r="J17" s="60"/>
    </row>
    <row r="18" ht="12" customHeight="1" spans="1:10">
      <c r="A18" s="60"/>
      <c r="B18" s="60"/>
      <c r="C18" s="60"/>
      <c r="D18" s="60"/>
      <c r="E18" s="60"/>
      <c r="F18" s="60"/>
      <c r="G18" s="60"/>
      <c r="H18" s="60"/>
      <c r="I18" s="60"/>
      <c r="J18" s="60"/>
    </row>
    <row r="19" ht="24" customHeight="1" spans="1:10">
      <c r="A19" s="60"/>
      <c r="B19" s="64" t="s">
        <v>17</v>
      </c>
      <c r="C19" s="64" t="s">
        <v>17</v>
      </c>
      <c r="D19" s="64" t="s">
        <v>17</v>
      </c>
      <c r="E19" s="64" t="s">
        <v>17</v>
      </c>
      <c r="F19" s="64" t="s">
        <v>17</v>
      </c>
      <c r="G19" s="64" t="s">
        <v>17</v>
      </c>
      <c r="H19" s="64" t="s">
        <v>17</v>
      </c>
      <c r="I19" s="64" t="s">
        <v>17</v>
      </c>
      <c r="J19" s="60"/>
    </row>
    <row r="20" ht="24" customHeight="1" spans="1:10">
      <c r="A20" s="60"/>
      <c r="B20" s="69" t="s">
        <v>18</v>
      </c>
      <c r="C20" s="70" t="s">
        <v>19</v>
      </c>
      <c r="D20" s="70" t="s">
        <v>19</v>
      </c>
      <c r="E20" s="70" t="s">
        <v>19</v>
      </c>
      <c r="F20" s="70" t="s">
        <v>19</v>
      </c>
      <c r="G20" s="70" t="s">
        <v>19</v>
      </c>
      <c r="H20" s="70" t="s">
        <v>19</v>
      </c>
      <c r="I20" s="70" t="s">
        <v>19</v>
      </c>
      <c r="J20" s="60"/>
    </row>
    <row r="21" ht="24" customHeight="1" spans="1:10">
      <c r="A21" s="60"/>
      <c r="B21" s="71" t="s">
        <v>20</v>
      </c>
      <c r="C21" s="70" t="s">
        <v>21</v>
      </c>
      <c r="D21" s="70" t="s">
        <v>21</v>
      </c>
      <c r="E21" s="70" t="s">
        <v>21</v>
      </c>
      <c r="F21" s="70" t="s">
        <v>21</v>
      </c>
      <c r="G21" s="70" t="s">
        <v>21</v>
      </c>
      <c r="H21" s="70" t="s">
        <v>21</v>
      </c>
      <c r="I21" s="70" t="s">
        <v>21</v>
      </c>
      <c r="J21" s="60"/>
    </row>
    <row r="22" ht="24" customHeight="1" spans="1:10">
      <c r="A22" s="60"/>
      <c r="B22" s="72" t="s">
        <v>22</v>
      </c>
      <c r="C22" s="70" t="s">
        <v>23</v>
      </c>
      <c r="D22" s="70" t="s">
        <v>23</v>
      </c>
      <c r="E22" s="70" t="s">
        <v>23</v>
      </c>
      <c r="F22" s="70" t="s">
        <v>23</v>
      </c>
      <c r="G22" s="70" t="s">
        <v>23</v>
      </c>
      <c r="H22" s="70" t="s">
        <v>23</v>
      </c>
      <c r="I22" s="70" t="s">
        <v>23</v>
      </c>
      <c r="J22" s="60"/>
    </row>
    <row r="23" ht="12" customHeight="1" spans="1:10">
      <c r="A23" s="60"/>
      <c r="B23" s="60"/>
      <c r="C23" s="60"/>
      <c r="D23" s="60"/>
      <c r="E23" s="60"/>
      <c r="F23" s="60"/>
      <c r="G23" s="60"/>
      <c r="H23" s="60"/>
      <c r="I23" s="60"/>
      <c r="J23" s="60"/>
    </row>
    <row r="24" ht="24" customHeight="1" spans="1:10">
      <c r="A24" s="60"/>
      <c r="B24" s="64" t="s">
        <v>24</v>
      </c>
      <c r="C24" s="64" t="s">
        <v>24</v>
      </c>
      <c r="D24" s="64" t="s">
        <v>24</v>
      </c>
      <c r="E24" s="64" t="s">
        <v>24</v>
      </c>
      <c r="F24" s="64" t="s">
        <v>24</v>
      </c>
      <c r="G24" s="64" t="s">
        <v>24</v>
      </c>
      <c r="H24" s="64" t="s">
        <v>24</v>
      </c>
      <c r="I24" s="64" t="s">
        <v>24</v>
      </c>
      <c r="J24" s="60"/>
    </row>
    <row r="25" ht="26" customHeight="1" spans="1:10">
      <c r="A25" s="60"/>
      <c r="B25" s="73" t="s">
        <v>25</v>
      </c>
      <c r="C25" s="73" t="s">
        <v>25</v>
      </c>
      <c r="D25" s="73" t="s">
        <v>25</v>
      </c>
      <c r="E25" s="73" t="s">
        <v>25</v>
      </c>
      <c r="F25" s="73" t="s">
        <v>25</v>
      </c>
      <c r="G25" s="73" t="s">
        <v>25</v>
      </c>
      <c r="H25" s="73" t="s">
        <v>25</v>
      </c>
      <c r="I25" s="73" t="s">
        <v>25</v>
      </c>
      <c r="J25" s="60"/>
    </row>
    <row r="26" ht="26" customHeight="1" spans="1:10">
      <c r="A26" s="60"/>
      <c r="B26" s="73" t="s">
        <v>26</v>
      </c>
      <c r="C26" s="73" t="s">
        <v>26</v>
      </c>
      <c r="D26" s="73" t="s">
        <v>26</v>
      </c>
      <c r="E26" s="73" t="s">
        <v>26</v>
      </c>
      <c r="F26" s="73" t="s">
        <v>26</v>
      </c>
      <c r="G26" s="73" t="s">
        <v>26</v>
      </c>
      <c r="H26" s="73" t="s">
        <v>26</v>
      </c>
      <c r="I26" s="73" t="s">
        <v>26</v>
      </c>
      <c r="J26" s="60"/>
    </row>
    <row r="27" ht="20" customHeight="1" spans="1:10">
      <c r="A27" s="60"/>
      <c r="B27" s="60"/>
      <c r="C27" s="60"/>
      <c r="D27" s="60"/>
      <c r="E27" s="60"/>
      <c r="F27" s="60"/>
      <c r="G27" s="60"/>
      <c r="H27" s="60"/>
      <c r="I27" s="60"/>
      <c r="J27" s="60"/>
    </row>
    <row r="28" spans="1:10">
      <c r="A28" s="60"/>
      <c r="B28" s="60"/>
      <c r="C28" s="60"/>
      <c r="D28" s="60"/>
      <c r="E28" s="60"/>
      <c r="F28" s="60"/>
      <c r="G28" s="60"/>
      <c r="H28" s="60"/>
      <c r="I28" s="60"/>
      <c r="J28" s="60"/>
    </row>
    <row r="29" spans="1:10">
      <c r="A29" s="60"/>
      <c r="B29" s="60"/>
      <c r="C29" s="60"/>
      <c r="D29" s="60"/>
      <c r="E29" s="60"/>
      <c r="F29" s="60"/>
      <c r="G29" s="60"/>
      <c r="H29" s="60"/>
      <c r="I29" s="60"/>
      <c r="J29" s="60"/>
    </row>
    <row r="30" spans="1:10">
      <c r="A30" s="60"/>
      <c r="B30" s="60"/>
      <c r="C30" s="60"/>
      <c r="D30" s="60"/>
      <c r="E30" s="60"/>
      <c r="F30" s="60"/>
      <c r="G30" s="60"/>
      <c r="H30" s="60"/>
      <c r="I30" s="60"/>
      <c r="J30" s="60"/>
    </row>
    <row r="31" spans="1:10">
      <c r="A31" s="60"/>
      <c r="B31" s="60"/>
      <c r="C31" s="60"/>
      <c r="D31" s="60"/>
      <c r="E31" s="60"/>
      <c r="F31" s="60"/>
      <c r="G31" s="60"/>
      <c r="H31" s="60"/>
      <c r="I31" s="60"/>
      <c r="J31" s="60"/>
    </row>
    <row r="32" spans="1:10">
      <c r="A32" s="60"/>
      <c r="B32" s="60"/>
      <c r="C32" s="60"/>
      <c r="D32" s="60"/>
      <c r="E32" s="60"/>
      <c r="F32" s="60"/>
      <c r="G32" s="60"/>
      <c r="H32" s="60"/>
      <c r="I32" s="60"/>
      <c r="J32" s="60"/>
    </row>
    <row r="33" spans="1:10">
      <c r="A33" s="60"/>
      <c r="B33" s="60"/>
      <c r="C33" s="60"/>
      <c r="D33" s="60"/>
      <c r="E33" s="60"/>
      <c r="F33" s="60"/>
      <c r="G33" s="60"/>
      <c r="H33" s="60"/>
      <c r="I33" s="60"/>
      <c r="J33" s="60"/>
    </row>
    <row r="34" spans="1:10">
      <c r="A34" s="60"/>
      <c r="B34" s="60"/>
      <c r="C34" s="60"/>
      <c r="D34" s="60"/>
      <c r="E34" s="60"/>
      <c r="F34" s="60"/>
      <c r="G34" s="60"/>
      <c r="H34" s="60"/>
      <c r="I34" s="60"/>
      <c r="J34" s="60"/>
    </row>
    <row r="35" spans="1:10">
      <c r="A35" s="60"/>
      <c r="B35" s="60"/>
      <c r="C35" s="60"/>
      <c r="D35" s="60"/>
      <c r="E35" s="60"/>
      <c r="F35" s="60"/>
      <c r="G35" s="60"/>
      <c r="H35" s="60"/>
      <c r="I35" s="60"/>
      <c r="J35" s="60"/>
    </row>
  </sheetData>
  <sheetProtection password="840F" sheet="1"/>
  <mergeCells count="25">
    <mergeCell ref="B2:I2"/>
    <mergeCell ref="B3:I3"/>
    <mergeCell ref="B4:I4"/>
    <mergeCell ref="B6:I6"/>
    <mergeCell ref="B8:C8"/>
    <mergeCell ref="D8:E8"/>
    <mergeCell ref="F8:G8"/>
    <mergeCell ref="H8:I8"/>
    <mergeCell ref="B10:C10"/>
    <mergeCell ref="D10:E10"/>
    <mergeCell ref="F10:G10"/>
    <mergeCell ref="H10:I10"/>
    <mergeCell ref="B12:I12"/>
    <mergeCell ref="C13:I13"/>
    <mergeCell ref="C14:I14"/>
    <mergeCell ref="C15:I15"/>
    <mergeCell ref="C16:I16"/>
    <mergeCell ref="C17:I17"/>
    <mergeCell ref="B19:I19"/>
    <mergeCell ref="C20:I20"/>
    <mergeCell ref="C21:I21"/>
    <mergeCell ref="C22:I22"/>
    <mergeCell ref="B24:I24"/>
    <mergeCell ref="B25:I25"/>
    <mergeCell ref="B26:I26"/>
  </mergeCells>
  <hyperlinks>
    <hyperlink ref="B25" r:id="rId1" display="Ecosistema Jefferson  —  C:\Users\PC Francks\Desktop\ECOSISTEMA-JEFFERSON\"/>
    <hyperlink ref="B26" r:id="rId2" display="Paint Print  —  C:\Users\PC Francks\Desktop\ECOSISTEMA-JEFFERSON\EMPRESAS\PAINT-PRINT\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48200"/>
  </sheetPr>
  <dimension ref="A1:J24"/>
  <sheetViews>
    <sheetView workbookViewId="0">
      <selection activeCell="F1" sqref="F1:H1"/>
    </sheetView>
  </sheetViews>
  <sheetFormatPr defaultColWidth="9" defaultRowHeight="15"/>
  <cols>
    <col min="1" max="1" width="28" customWidth="1"/>
    <col min="2" max="2" width="16" customWidth="1"/>
    <col min="3" max="3" width="38" customWidth="1"/>
    <col min="4" max="5" width="18" customWidth="1"/>
    <col min="6" max="7" width="14" customWidth="1"/>
    <col min="8" max="8" width="16" customWidth="1"/>
    <col min="9" max="9" width="9.14285714285714" hidden="1" customWidth="1"/>
    <col min="10" max="10" width="18" hidden="1" customWidth="1"/>
  </cols>
  <sheetData>
    <row r="1" ht="22" customHeight="1" spans="1:10">
      <c r="A1" s="4" t="s">
        <v>27</v>
      </c>
      <c r="B1" s="5"/>
      <c r="C1" s="5"/>
      <c r="D1" s="5"/>
      <c r="E1" s="5"/>
      <c r="F1" s="8" t="str">
        <f>HYPERLINK("#DASHBOARD!A1","Volver al Menu Principal")</f>
        <v>Volver al Menu Principal</v>
      </c>
      <c r="G1" s="7"/>
      <c r="H1" s="7"/>
      <c r="J1" s="6"/>
    </row>
    <row r="2" ht="20" customHeight="1" spans="1:8">
      <c r="A2" s="54" t="s">
        <v>28</v>
      </c>
      <c r="B2" s="55"/>
      <c r="C2" s="55"/>
      <c r="D2" s="55"/>
      <c r="E2" s="55"/>
      <c r="F2" s="55"/>
      <c r="G2" s="55"/>
      <c r="H2" s="55"/>
    </row>
    <row r="4" ht="28" customHeight="1" spans="1:3">
      <c r="A4" s="13" t="s">
        <v>29</v>
      </c>
      <c r="B4" s="13" t="s">
        <v>30</v>
      </c>
      <c r="C4" s="13" t="s">
        <v>31</v>
      </c>
    </row>
    <row r="5" ht="18" customHeight="1" spans="1:3">
      <c r="A5" s="56" t="s">
        <v>32</v>
      </c>
      <c r="B5" s="43">
        <v>4000</v>
      </c>
      <c r="C5" s="56" t="s">
        <v>33</v>
      </c>
    </row>
    <row r="6" ht="18" customHeight="1" spans="1:3">
      <c r="A6" s="56" t="s">
        <v>34</v>
      </c>
      <c r="B6" s="57">
        <v>0.3</v>
      </c>
      <c r="C6" s="56" t="s">
        <v>35</v>
      </c>
    </row>
    <row r="7" ht="18" customHeight="1" spans="1:3">
      <c r="A7" s="56" t="s">
        <v>36</v>
      </c>
      <c r="B7" s="57">
        <v>0.55</v>
      </c>
      <c r="C7" s="56" t="s">
        <v>37</v>
      </c>
    </row>
    <row r="8" ht="18" customHeight="1" spans="1:3">
      <c r="A8" s="56" t="s">
        <v>38</v>
      </c>
      <c r="B8" s="57">
        <v>0.7</v>
      </c>
      <c r="C8" s="56" t="s">
        <v>39</v>
      </c>
    </row>
    <row r="9" ht="18" customHeight="1" spans="1:3">
      <c r="A9" s="56" t="s">
        <v>40</v>
      </c>
      <c r="B9" s="57">
        <v>0.15</v>
      </c>
      <c r="C9" s="56" t="s">
        <v>41</v>
      </c>
    </row>
    <row r="10" ht="18" customHeight="1" spans="1:3">
      <c r="A10" s="56" t="s">
        <v>42</v>
      </c>
      <c r="B10" s="58" t="s">
        <v>43</v>
      </c>
      <c r="C10" s="56" t="s">
        <v>44</v>
      </c>
    </row>
    <row r="12" ht="22" customHeight="1" spans="1:8">
      <c r="A12" s="59" t="s">
        <v>45</v>
      </c>
      <c r="B12" s="5"/>
      <c r="C12" s="5"/>
      <c r="D12" s="5"/>
      <c r="E12" s="5"/>
      <c r="F12" s="5"/>
      <c r="G12" s="5"/>
      <c r="H12" s="5"/>
    </row>
    <row r="13" ht="28" customHeight="1" spans="1:8">
      <c r="A13" s="14" t="s">
        <v>46</v>
      </c>
      <c r="B13" s="14" t="s">
        <v>47</v>
      </c>
      <c r="C13" s="14" t="s">
        <v>48</v>
      </c>
      <c r="D13" s="14" t="s">
        <v>49</v>
      </c>
      <c r="E13" s="14" t="s">
        <v>50</v>
      </c>
      <c r="F13" s="14" t="s">
        <v>51</v>
      </c>
      <c r="G13" s="14" t="s">
        <v>52</v>
      </c>
      <c r="H13" s="14" t="s">
        <v>53</v>
      </c>
    </row>
    <row r="14" ht="16" customHeight="1" spans="1:7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</row>
    <row r="15" ht="16" customHeight="1" spans="1:7">
      <c r="A15" t="s">
        <v>61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</row>
    <row r="16" ht="16" customHeight="1" spans="1:7">
      <c r="A16" t="s">
        <v>68</v>
      </c>
      <c r="B16" t="s">
        <v>61</v>
      </c>
      <c r="C16" t="s">
        <v>69</v>
      </c>
      <c r="D16" t="s">
        <v>70</v>
      </c>
      <c r="E16" t="s">
        <v>71</v>
      </c>
      <c r="F16" t="s">
        <v>72</v>
      </c>
      <c r="G16" t="s">
        <v>73</v>
      </c>
    </row>
    <row r="17" ht="16" customHeight="1" spans="1: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</row>
    <row r="18" ht="16" customHeight="1" spans="1:7">
      <c r="A18" t="s">
        <v>81</v>
      </c>
      <c r="B18" t="s">
        <v>82</v>
      </c>
      <c r="C18" t="s">
        <v>83</v>
      </c>
      <c r="D18" t="s">
        <v>84</v>
      </c>
      <c r="F18" t="s">
        <v>85</v>
      </c>
      <c r="G18" t="s">
        <v>86</v>
      </c>
    </row>
    <row r="19" ht="16" customHeight="1" spans="1:7">
      <c r="A19" t="s">
        <v>87</v>
      </c>
      <c r="B19" t="s">
        <v>88</v>
      </c>
      <c r="C19" t="s">
        <v>89</v>
      </c>
      <c r="D19" t="s">
        <v>90</v>
      </c>
      <c r="F19" t="s">
        <v>91</v>
      </c>
      <c r="G19" t="s">
        <v>61</v>
      </c>
    </row>
    <row r="20" ht="16" customHeight="1" spans="1:7">
      <c r="A20" t="s">
        <v>55</v>
      </c>
      <c r="B20" t="s">
        <v>92</v>
      </c>
      <c r="C20" t="s">
        <v>93</v>
      </c>
      <c r="F20" t="s">
        <v>94</v>
      </c>
      <c r="G20" t="s">
        <v>95</v>
      </c>
    </row>
    <row r="21" ht="16" customHeight="1" spans="1:7">
      <c r="A21" t="s">
        <v>62</v>
      </c>
      <c r="B21" t="s">
        <v>96</v>
      </c>
      <c r="C21" t="s">
        <v>97</v>
      </c>
      <c r="G21" t="s">
        <v>98</v>
      </c>
    </row>
    <row r="22" ht="16" customHeight="1" spans="1:2">
      <c r="A22" t="s">
        <v>99</v>
      </c>
      <c r="B22" t="s">
        <v>74</v>
      </c>
    </row>
    <row r="23" ht="16" customHeight="1" spans="1:1">
      <c r="A23" t="s">
        <v>100</v>
      </c>
    </row>
    <row r="24" ht="16" customHeight="1" spans="1:1">
      <c r="A24" t="s">
        <v>101</v>
      </c>
    </row>
  </sheetData>
  <sheetProtection password="840F" sheet="1"/>
  <mergeCells count="1">
    <mergeCell ref="F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AT300"/>
  <sheetViews>
    <sheetView tabSelected="1" workbookViewId="0">
      <pane ySplit="4" topLeftCell="A5" activePane="bottomLeft" state="frozen"/>
      <selection/>
      <selection pane="bottomLeft" activeCell="A1" sqref="A1"/>
    </sheetView>
  </sheetViews>
  <sheetFormatPr defaultColWidth="9" defaultRowHeight="15"/>
  <cols>
    <col min="1" max="1" width="8" customWidth="1"/>
    <col min="2" max="2" width="26" customWidth="1"/>
    <col min="3" max="3" width="18" customWidth="1"/>
    <col min="4" max="4" width="14" customWidth="1"/>
    <col min="5" max="5" width="16" customWidth="1"/>
    <col min="6" max="6" width="14" customWidth="1"/>
    <col min="7" max="7" width="12" customWidth="1"/>
    <col min="8" max="8" width="13" customWidth="1"/>
    <col min="9" max="9" width="14" customWidth="1"/>
    <col min="10" max="10" width="12" customWidth="1"/>
    <col min="11" max="12" width="10" customWidth="1"/>
    <col min="13" max="15" width="12" customWidth="1"/>
    <col min="16" max="16" width="15" customWidth="1"/>
    <col min="17" max="17" width="20" hidden="1" customWidth="1"/>
    <col min="18" max="18" width="13" hidden="1" customWidth="1"/>
    <col min="19" max="40" width="9.14285714285714" hidden="1" customWidth="1"/>
    <col min="45" max="45" width="9.14285714285714" hidden="1" customWidth="1"/>
    <col min="46" max="46" width="8.42857142857143" hidden="1" customWidth="1"/>
  </cols>
  <sheetData>
    <row r="1" ht="22" customHeight="1" spans="1:46">
      <c r="A1" s="4" t="s">
        <v>102</v>
      </c>
      <c r="B1" s="5"/>
      <c r="C1" s="5"/>
      <c r="D1" s="5"/>
      <c r="E1" s="6" t="str">
        <f>HYPERLINK("#DASHBOARD!A1","Volver al Menu Principal")</f>
        <v>Volver al Menu Principal</v>
      </c>
      <c r="F1" s="7"/>
      <c r="G1" s="7"/>
      <c r="H1" s="5"/>
      <c r="I1" s="5"/>
      <c r="J1" s="5"/>
      <c r="K1" s="5"/>
      <c r="L1" s="5"/>
      <c r="M1" s="5"/>
      <c r="N1" s="8"/>
      <c r="O1" s="7"/>
      <c r="P1" s="7"/>
      <c r="Q1" s="6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T1" s="32"/>
    </row>
    <row r="2" ht="20" customHeight="1" spans="1:44">
      <c r="A2" s="50" t="s">
        <v>103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1"/>
      <c r="AR2" s="51"/>
    </row>
    <row r="3" ht="20" customHeight="1" spans="1:44">
      <c r="A3" s="52" t="s">
        <v>104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</row>
    <row r="4" ht="38" customHeight="1" spans="1:44">
      <c r="A4" s="13" t="s">
        <v>105</v>
      </c>
      <c r="B4" s="13" t="s">
        <v>106</v>
      </c>
      <c r="C4" s="13" t="s">
        <v>48</v>
      </c>
      <c r="D4" s="14" t="s">
        <v>107</v>
      </c>
      <c r="E4" s="14" t="s">
        <v>108</v>
      </c>
      <c r="F4" s="14" t="s">
        <v>109</v>
      </c>
      <c r="G4" s="14" t="s">
        <v>110</v>
      </c>
      <c r="H4" s="14" t="s">
        <v>111</v>
      </c>
      <c r="I4" s="15" t="s">
        <v>112</v>
      </c>
      <c r="J4" s="14" t="s">
        <v>113</v>
      </c>
      <c r="K4" s="15" t="s">
        <v>114</v>
      </c>
      <c r="L4" s="15" t="s">
        <v>115</v>
      </c>
      <c r="M4" s="15" t="s">
        <v>116</v>
      </c>
      <c r="N4" s="14" t="s">
        <v>117</v>
      </c>
      <c r="AO4" s="15" t="s">
        <v>118</v>
      </c>
      <c r="AP4" s="15" t="s">
        <v>119</v>
      </c>
      <c r="AQ4" s="13" t="s">
        <v>120</v>
      </c>
      <c r="AR4" s="13" t="s">
        <v>121</v>
      </c>
    </row>
    <row r="5" ht="18" customHeight="1" spans="1:44">
      <c r="A5" s="17" t="s">
        <v>122</v>
      </c>
      <c r="B5" s="17" t="s">
        <v>123</v>
      </c>
      <c r="C5" s="17" t="s">
        <v>56</v>
      </c>
      <c r="D5" s="17" t="s">
        <v>54</v>
      </c>
      <c r="E5" s="17">
        <v>20</v>
      </c>
      <c r="F5" s="17" t="s">
        <v>62</v>
      </c>
      <c r="G5" s="17">
        <v>1</v>
      </c>
      <c r="H5" s="25">
        <v>5000</v>
      </c>
      <c r="I5" s="19">
        <f t="shared" ref="I5:I68" si="0">IFERROR(H5/(G5*E5),0)</f>
        <v>250</v>
      </c>
      <c r="J5" s="17">
        <v>100</v>
      </c>
      <c r="K5" s="18">
        <f>IFERROR(SUMIFS(MOVIMIENTOS!$E:$E,MOVIMIENTOS!$C:$C,$A5,MOVIMIENTOS!$B:$B,"ENTRADA"),0)</f>
        <v>100</v>
      </c>
      <c r="L5" s="18">
        <f>IFERROR(SUMIFS(MOVIMIENTOS!$E:$E,MOVIMIENTOS!$C:$C,$A5,MOVIMIENTOS!$B:$B,"SALIDA")+SUMIFS(MOVIMIENTOS!$E:$E,MOVIMIENTOS!$C:$C,$A5,MOVIMIENTOS!$B:$B,"MERMA"),0)</f>
        <v>0</v>
      </c>
      <c r="M5" s="18">
        <f t="shared" ref="M5:M68" si="1">IFERROR(J5+K5-L5,0)</f>
        <v>200</v>
      </c>
      <c r="N5" s="17">
        <v>20</v>
      </c>
      <c r="O5" s="18" t="str">
        <f t="shared" ref="O5:O14" si="2">IF(M5&lt;=N5,"REPONER","OK")</f>
        <v>OK</v>
      </c>
      <c r="P5" s="20">
        <f t="shared" ref="P5:P14" si="3">IFERROR(M5*I5,0)</f>
        <v>50000</v>
      </c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18" t="str">
        <f t="shared" ref="AO5:AO68" si="4">IF(M5&lt;=N5,"REPONER","OK")</f>
        <v>OK</v>
      </c>
      <c r="AP5" s="20">
        <f t="shared" ref="AP5:AP68" si="5">IFERROR(M5*I5,0)</f>
        <v>50000</v>
      </c>
      <c r="AQ5" s="17" t="s">
        <v>124</v>
      </c>
      <c r="AR5" s="16">
        <v>46195</v>
      </c>
    </row>
    <row r="6" ht="18" customHeight="1" spans="1:44">
      <c r="A6" s="17" t="s">
        <v>125</v>
      </c>
      <c r="B6" s="17" t="s">
        <v>126</v>
      </c>
      <c r="C6" s="17" t="s">
        <v>56</v>
      </c>
      <c r="D6" s="17" t="s">
        <v>54</v>
      </c>
      <c r="E6" s="17">
        <v>50</v>
      </c>
      <c r="F6" s="17" t="s">
        <v>62</v>
      </c>
      <c r="G6" s="17">
        <v>1</v>
      </c>
      <c r="H6" s="25">
        <v>3500</v>
      </c>
      <c r="I6" s="19">
        <f t="shared" si="0"/>
        <v>70</v>
      </c>
      <c r="J6" s="17">
        <v>100</v>
      </c>
      <c r="K6" s="18">
        <f>IFERROR(SUMIFS(MOVIMIENTOS!$E:$E,MOVIMIENTOS!$C:$C,$A6,MOVIMIENTOS!$B:$B,"ENTRADA"),0)</f>
        <v>100</v>
      </c>
      <c r="L6" s="18">
        <f>IFERROR(SUMIFS(MOVIMIENTOS!$E:$E,MOVIMIENTOS!$C:$C,$A6,MOVIMIENTOS!$B:$B,"SALIDA")+SUMIFS(MOVIMIENTOS!$E:$E,MOVIMIENTOS!$C:$C,$A6,MOVIMIENTOS!$B:$B,"MERMA"),0)</f>
        <v>0</v>
      </c>
      <c r="M6" s="18">
        <f t="shared" si="1"/>
        <v>200</v>
      </c>
      <c r="N6" s="17">
        <v>20</v>
      </c>
      <c r="O6" s="18" t="str">
        <f t="shared" si="2"/>
        <v>OK</v>
      </c>
      <c r="P6" s="20">
        <f t="shared" si="3"/>
        <v>14000</v>
      </c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18" t="str">
        <f t="shared" si="4"/>
        <v>OK</v>
      </c>
      <c r="AP6" s="20">
        <f t="shared" si="5"/>
        <v>14000</v>
      </c>
      <c r="AQ6" s="17" t="s">
        <v>124</v>
      </c>
      <c r="AR6" s="16">
        <v>46195</v>
      </c>
    </row>
    <row r="7" ht="18" customHeight="1" spans="1:44">
      <c r="A7" s="17" t="s">
        <v>127</v>
      </c>
      <c r="B7" s="17" t="s">
        <v>128</v>
      </c>
      <c r="C7" s="17" t="s">
        <v>63</v>
      </c>
      <c r="D7" s="17" t="s">
        <v>54</v>
      </c>
      <c r="E7" s="17">
        <v>20</v>
      </c>
      <c r="F7" s="17" t="s">
        <v>62</v>
      </c>
      <c r="G7" s="17">
        <v>1</v>
      </c>
      <c r="H7" s="25">
        <v>8000</v>
      </c>
      <c r="I7" s="19">
        <f t="shared" si="0"/>
        <v>400</v>
      </c>
      <c r="J7" s="17">
        <v>40</v>
      </c>
      <c r="K7" s="18">
        <f>IFERROR(SUMIFS(MOVIMIENTOS!$E:$E,MOVIMIENTOS!$C:$C,$A7,MOVIMIENTOS!$B:$B,"ENTRADA"),0)</f>
        <v>40</v>
      </c>
      <c r="L7" s="18">
        <f>IFERROR(SUMIFS(MOVIMIENTOS!$E:$E,MOVIMIENTOS!$C:$C,$A7,MOVIMIENTOS!$B:$B,"SALIDA")+SUMIFS(MOVIMIENTOS!$E:$E,MOVIMIENTOS!$C:$C,$A7,MOVIMIENTOS!$B:$B,"MERMA"),0)</f>
        <v>0</v>
      </c>
      <c r="M7" s="18">
        <f t="shared" si="1"/>
        <v>80</v>
      </c>
      <c r="N7" s="17">
        <v>10</v>
      </c>
      <c r="O7" s="18" t="str">
        <f t="shared" si="2"/>
        <v>OK</v>
      </c>
      <c r="P7" s="20">
        <f t="shared" si="3"/>
        <v>32000</v>
      </c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18" t="str">
        <f t="shared" si="4"/>
        <v>OK</v>
      </c>
      <c r="AP7" s="20">
        <f t="shared" si="5"/>
        <v>32000</v>
      </c>
      <c r="AQ7" s="17" t="s">
        <v>129</v>
      </c>
      <c r="AR7" s="16">
        <v>46195</v>
      </c>
    </row>
    <row r="8" ht="18" customHeight="1" spans="1:44">
      <c r="A8" s="17" t="s">
        <v>130</v>
      </c>
      <c r="B8" s="17" t="s">
        <v>131</v>
      </c>
      <c r="C8" s="17" t="s">
        <v>89</v>
      </c>
      <c r="D8" s="17" t="s">
        <v>61</v>
      </c>
      <c r="E8" s="17">
        <v>100</v>
      </c>
      <c r="F8" s="17" t="s">
        <v>75</v>
      </c>
      <c r="G8" s="17">
        <v>1</v>
      </c>
      <c r="H8" s="25">
        <v>6000</v>
      </c>
      <c r="I8" s="19">
        <f t="shared" si="0"/>
        <v>60</v>
      </c>
      <c r="J8" s="17">
        <v>500</v>
      </c>
      <c r="K8" s="18">
        <f>IFERROR(SUMIFS(MOVIMIENTOS!$E:$E,MOVIMIENTOS!$C:$C,$A8,MOVIMIENTOS!$B:$B,"ENTRADA"),0)</f>
        <v>500</v>
      </c>
      <c r="L8" s="18">
        <f>IFERROR(SUMIFS(MOVIMIENTOS!$E:$E,MOVIMIENTOS!$C:$C,$A8,MOVIMIENTOS!$B:$B,"SALIDA")+SUMIFS(MOVIMIENTOS!$E:$E,MOVIMIENTOS!$C:$C,$A8,MOVIMIENTOS!$B:$B,"MERMA"),0)</f>
        <v>0</v>
      </c>
      <c r="M8" s="18">
        <f t="shared" si="1"/>
        <v>1000</v>
      </c>
      <c r="N8" s="17">
        <v>200</v>
      </c>
      <c r="O8" s="18" t="str">
        <f t="shared" si="2"/>
        <v>OK</v>
      </c>
      <c r="P8" s="20">
        <f t="shared" si="3"/>
        <v>60000</v>
      </c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18" t="str">
        <f t="shared" si="4"/>
        <v>OK</v>
      </c>
      <c r="AP8" s="20">
        <f t="shared" si="5"/>
        <v>60000</v>
      </c>
      <c r="AQ8" s="17" t="s">
        <v>132</v>
      </c>
      <c r="AR8" s="16">
        <v>46195</v>
      </c>
    </row>
    <row r="9" ht="18" customHeight="1" spans="1:44">
      <c r="A9" s="17" t="s">
        <v>133</v>
      </c>
      <c r="B9" s="17" t="s">
        <v>134</v>
      </c>
      <c r="C9" s="17" t="s">
        <v>56</v>
      </c>
      <c r="D9" s="17" t="s">
        <v>54</v>
      </c>
      <c r="E9" s="17">
        <v>25</v>
      </c>
      <c r="F9" s="17" t="s">
        <v>62</v>
      </c>
      <c r="G9" s="17">
        <v>1</v>
      </c>
      <c r="H9" s="25">
        <v>4500</v>
      </c>
      <c r="I9" s="19">
        <f t="shared" si="0"/>
        <v>180</v>
      </c>
      <c r="J9" s="17">
        <v>50</v>
      </c>
      <c r="K9" s="18">
        <f>IFERROR(SUMIFS(MOVIMIENTOS!$E:$E,MOVIMIENTOS!$C:$C,$A9,MOVIMIENTOS!$B:$B,"ENTRADA"),0)</f>
        <v>50</v>
      </c>
      <c r="L9" s="18">
        <f>IFERROR(SUMIFS(MOVIMIENTOS!$E:$E,MOVIMIENTOS!$C:$C,$A9,MOVIMIENTOS!$B:$B,"SALIDA")+SUMIFS(MOVIMIENTOS!$E:$E,MOVIMIENTOS!$C:$C,$A9,MOVIMIENTOS!$B:$B,"MERMA"),0)</f>
        <v>0</v>
      </c>
      <c r="M9" s="18">
        <f t="shared" si="1"/>
        <v>100</v>
      </c>
      <c r="N9" s="17">
        <v>10</v>
      </c>
      <c r="O9" s="18" t="str">
        <f t="shared" si="2"/>
        <v>OK</v>
      </c>
      <c r="P9" s="20">
        <f t="shared" si="3"/>
        <v>18000</v>
      </c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18" t="str">
        <f t="shared" si="4"/>
        <v>OK</v>
      </c>
      <c r="AP9" s="20">
        <f t="shared" si="5"/>
        <v>18000</v>
      </c>
      <c r="AQ9" s="17" t="s">
        <v>124</v>
      </c>
      <c r="AR9" s="16">
        <v>46195</v>
      </c>
    </row>
    <row r="10" ht="18" customHeight="1" spans="1:44">
      <c r="A10" s="17" t="s">
        <v>135</v>
      </c>
      <c r="B10" s="17" t="s">
        <v>136</v>
      </c>
      <c r="C10" s="17" t="s">
        <v>56</v>
      </c>
      <c r="D10" s="17" t="s">
        <v>54</v>
      </c>
      <c r="E10" s="17">
        <v>20</v>
      </c>
      <c r="F10" s="17" t="s">
        <v>62</v>
      </c>
      <c r="G10" s="17">
        <v>1</v>
      </c>
      <c r="H10" s="25">
        <v>3000</v>
      </c>
      <c r="I10" s="19">
        <f t="shared" si="0"/>
        <v>150</v>
      </c>
      <c r="J10" s="17">
        <v>40</v>
      </c>
      <c r="K10" s="18">
        <f>IFERROR(SUMIFS(MOVIMIENTOS!$E:$E,MOVIMIENTOS!$C:$C,$A10,MOVIMIENTOS!$B:$B,"ENTRADA"),0)</f>
        <v>40</v>
      </c>
      <c r="L10" s="18">
        <f>IFERROR(SUMIFS(MOVIMIENTOS!$E:$E,MOVIMIENTOS!$C:$C,$A10,MOVIMIENTOS!$B:$B,"SALIDA")+SUMIFS(MOVIMIENTOS!$E:$E,MOVIMIENTOS!$C:$C,$A10,MOVIMIENTOS!$B:$B,"MERMA"),0)</f>
        <v>0</v>
      </c>
      <c r="M10" s="18">
        <f t="shared" si="1"/>
        <v>80</v>
      </c>
      <c r="N10" s="17">
        <v>10</v>
      </c>
      <c r="O10" s="18" t="str">
        <f t="shared" si="2"/>
        <v>OK</v>
      </c>
      <c r="P10" s="20">
        <f t="shared" si="3"/>
        <v>12000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18" t="str">
        <f t="shared" si="4"/>
        <v>OK</v>
      </c>
      <c r="AP10" s="20">
        <f t="shared" si="5"/>
        <v>12000</v>
      </c>
      <c r="AQ10" s="17" t="s">
        <v>124</v>
      </c>
      <c r="AR10" s="16">
        <v>46195</v>
      </c>
    </row>
    <row r="11" ht="18" customHeight="1" spans="1:44">
      <c r="A11" s="17" t="s">
        <v>137</v>
      </c>
      <c r="B11" s="17" t="s">
        <v>138</v>
      </c>
      <c r="C11" s="17" t="s">
        <v>76</v>
      </c>
      <c r="D11" s="17" t="s">
        <v>81</v>
      </c>
      <c r="E11" s="17">
        <v>50</v>
      </c>
      <c r="F11" s="17" t="s">
        <v>96</v>
      </c>
      <c r="G11" s="17">
        <v>1</v>
      </c>
      <c r="H11" s="25">
        <v>2500</v>
      </c>
      <c r="I11" s="19">
        <f t="shared" si="0"/>
        <v>50</v>
      </c>
      <c r="J11" s="17">
        <v>3</v>
      </c>
      <c r="K11" s="18">
        <f>IFERROR(SUMIFS(MOVIMIENTOS!$E:$E,MOVIMIENTOS!$C:$C,$A11,MOVIMIENTOS!$B:$B,"ENTRADA"),0)</f>
        <v>3</v>
      </c>
      <c r="L11" s="18">
        <f>IFERROR(SUMIFS(MOVIMIENTOS!$E:$E,MOVIMIENTOS!$C:$C,$A11,MOVIMIENTOS!$B:$B,"SALIDA")+SUMIFS(MOVIMIENTOS!$E:$E,MOVIMIENTOS!$C:$C,$A11,MOVIMIENTOS!$B:$B,"MERMA"),0)</f>
        <v>0</v>
      </c>
      <c r="M11" s="18">
        <f t="shared" si="1"/>
        <v>6</v>
      </c>
      <c r="N11" s="17">
        <v>1</v>
      </c>
      <c r="O11" s="18" t="str">
        <f t="shared" si="2"/>
        <v>OK</v>
      </c>
      <c r="P11" s="20">
        <f t="shared" si="3"/>
        <v>300</v>
      </c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18" t="str">
        <f t="shared" si="4"/>
        <v>OK</v>
      </c>
      <c r="AP11" s="20">
        <f t="shared" si="5"/>
        <v>300</v>
      </c>
      <c r="AQ11" s="17" t="s">
        <v>139</v>
      </c>
      <c r="AR11" s="16">
        <v>46195</v>
      </c>
    </row>
    <row r="12" ht="18" customHeight="1" spans="1:44">
      <c r="A12" s="17" t="s">
        <v>140</v>
      </c>
      <c r="B12" s="17" t="s">
        <v>141</v>
      </c>
      <c r="C12" s="17" t="s">
        <v>97</v>
      </c>
      <c r="D12" s="17" t="s">
        <v>54</v>
      </c>
      <c r="E12" s="17">
        <v>100</v>
      </c>
      <c r="F12" s="17" t="s">
        <v>55</v>
      </c>
      <c r="G12" s="17">
        <v>1</v>
      </c>
      <c r="H12" s="25">
        <v>1500</v>
      </c>
      <c r="I12" s="19">
        <f t="shared" si="0"/>
        <v>15</v>
      </c>
      <c r="J12" s="17">
        <v>200</v>
      </c>
      <c r="K12" s="18">
        <f>IFERROR(SUMIFS(MOVIMIENTOS!$E:$E,MOVIMIENTOS!$C:$C,$A12,MOVIMIENTOS!$B:$B,"ENTRADA"),0)</f>
        <v>200</v>
      </c>
      <c r="L12" s="18">
        <f>IFERROR(SUMIFS(MOVIMIENTOS!$E:$E,MOVIMIENTOS!$C:$C,$A12,MOVIMIENTOS!$B:$B,"SALIDA")+SUMIFS(MOVIMIENTOS!$E:$E,MOVIMIENTOS!$C:$C,$A12,MOVIMIENTOS!$B:$B,"MERMA"),0)</f>
        <v>0</v>
      </c>
      <c r="M12" s="18">
        <f t="shared" si="1"/>
        <v>400</v>
      </c>
      <c r="N12" s="17">
        <v>50</v>
      </c>
      <c r="O12" s="18" t="str">
        <f t="shared" si="2"/>
        <v>OK</v>
      </c>
      <c r="P12" s="20">
        <f t="shared" si="3"/>
        <v>6000</v>
      </c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18" t="str">
        <f t="shared" si="4"/>
        <v>OK</v>
      </c>
      <c r="AP12" s="20">
        <f t="shared" si="5"/>
        <v>6000</v>
      </c>
      <c r="AQ12" s="17" t="s">
        <v>142</v>
      </c>
      <c r="AR12" s="16">
        <v>46195</v>
      </c>
    </row>
    <row r="13" ht="18" customHeight="1" spans="1:44">
      <c r="A13" s="17" t="s">
        <v>143</v>
      </c>
      <c r="B13" s="17" t="s">
        <v>144</v>
      </c>
      <c r="C13" s="17" t="s">
        <v>69</v>
      </c>
      <c r="D13" s="17" t="s">
        <v>99</v>
      </c>
      <c r="E13" s="17">
        <v>200</v>
      </c>
      <c r="F13" s="17" t="s">
        <v>96</v>
      </c>
      <c r="G13" s="17">
        <v>1</v>
      </c>
      <c r="H13" s="25">
        <v>35000</v>
      </c>
      <c r="I13" s="19">
        <f t="shared" si="0"/>
        <v>175</v>
      </c>
      <c r="J13" s="17">
        <v>400</v>
      </c>
      <c r="K13" s="18">
        <f>IFERROR(SUMIFS(MOVIMIENTOS!$E:$E,MOVIMIENTOS!$C:$C,$A13,MOVIMIENTOS!$B:$B,"ENTRADA"),0)</f>
        <v>400</v>
      </c>
      <c r="L13" s="18">
        <f>IFERROR(SUMIFS(MOVIMIENTOS!$E:$E,MOVIMIENTOS!$C:$C,$A13,MOVIMIENTOS!$B:$B,"SALIDA")+SUMIFS(MOVIMIENTOS!$E:$E,MOVIMIENTOS!$C:$C,$A13,MOVIMIENTOS!$B:$B,"MERMA"),0)</f>
        <v>0</v>
      </c>
      <c r="M13" s="18">
        <f t="shared" si="1"/>
        <v>800</v>
      </c>
      <c r="N13" s="17">
        <v>100</v>
      </c>
      <c r="O13" s="18" t="str">
        <f t="shared" si="2"/>
        <v>OK</v>
      </c>
      <c r="P13" s="20">
        <f t="shared" si="3"/>
        <v>140000</v>
      </c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18" t="str">
        <f t="shared" si="4"/>
        <v>OK</v>
      </c>
      <c r="AP13" s="20">
        <f t="shared" si="5"/>
        <v>140000</v>
      </c>
      <c r="AQ13" s="17" t="s">
        <v>145</v>
      </c>
      <c r="AR13" s="16">
        <v>46195</v>
      </c>
    </row>
    <row r="14" ht="18" customHeight="1" spans="1:44">
      <c r="A14" s="17" t="s">
        <v>146</v>
      </c>
      <c r="B14" s="17" t="s">
        <v>147</v>
      </c>
      <c r="C14" s="17" t="s">
        <v>83</v>
      </c>
      <c r="D14" s="17" t="s">
        <v>74</v>
      </c>
      <c r="E14" s="17">
        <v>50000</v>
      </c>
      <c r="F14" s="17" t="s">
        <v>82</v>
      </c>
      <c r="G14" s="17">
        <v>1</v>
      </c>
      <c r="H14" s="25">
        <v>40000</v>
      </c>
      <c r="I14" s="19">
        <f t="shared" si="0"/>
        <v>0.8</v>
      </c>
      <c r="J14" s="17">
        <v>50000</v>
      </c>
      <c r="K14" s="18">
        <f>IFERROR(SUMIFS(MOVIMIENTOS!$E:$E,MOVIMIENTOS!$C:$C,$A14,MOVIMIENTOS!$B:$B,"ENTRADA"),0)</f>
        <v>50000</v>
      </c>
      <c r="L14" s="18">
        <f>IFERROR(SUMIFS(MOVIMIENTOS!$E:$E,MOVIMIENTOS!$C:$C,$A14,MOVIMIENTOS!$B:$B,"SALIDA")+SUMIFS(MOVIMIENTOS!$E:$E,MOVIMIENTOS!$C:$C,$A14,MOVIMIENTOS!$B:$B,"MERMA"),0)</f>
        <v>0</v>
      </c>
      <c r="M14" s="18">
        <f t="shared" si="1"/>
        <v>100000</v>
      </c>
      <c r="N14" s="17">
        <v>10000</v>
      </c>
      <c r="O14" s="18" t="str">
        <f t="shared" si="2"/>
        <v>OK</v>
      </c>
      <c r="P14" s="20">
        <f t="shared" si="3"/>
        <v>80000</v>
      </c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18" t="str">
        <f t="shared" si="4"/>
        <v>OK</v>
      </c>
      <c r="AP14" s="20">
        <f t="shared" si="5"/>
        <v>80000</v>
      </c>
      <c r="AQ14" s="17" t="s">
        <v>148</v>
      </c>
      <c r="AR14" s="16">
        <v>46195</v>
      </c>
    </row>
    <row r="15" spans="1:44">
      <c r="A15" s="17" t="s">
        <v>149</v>
      </c>
      <c r="B15" s="17" t="s">
        <v>150</v>
      </c>
      <c r="C15" s="17" t="s">
        <v>151</v>
      </c>
      <c r="D15" s="17" t="s">
        <v>152</v>
      </c>
      <c r="E15" s="17">
        <v>1</v>
      </c>
      <c r="F15" s="17" t="s">
        <v>152</v>
      </c>
      <c r="G15" s="17">
        <v>10</v>
      </c>
      <c r="H15" s="25">
        <v>100</v>
      </c>
      <c r="I15" s="19">
        <f t="shared" si="0"/>
        <v>10</v>
      </c>
      <c r="J15" s="17">
        <v>8</v>
      </c>
      <c r="K15" s="18">
        <f>IFERROR(SUMIFS(MOVIMIENTOS!$E:$E,MOVIMIENTOS!$C:$C,$A15,MOVIMIENTOS!$B:$B,"ENTRADA"),0)</f>
        <v>10</v>
      </c>
      <c r="L15" s="18">
        <f>IFERROR(SUMIFS(MOVIMIENTOS!$E:$E,MOVIMIENTOS!$C:$C,$A15,MOVIMIENTOS!$B:$B,"SALIDA")+SUMIFS(MOVIMIENTOS!$E:$E,MOVIMIENTOS!$C:$C,$A15,MOVIMIENTOS!$B:$B,"MERMA"),0)</f>
        <v>0</v>
      </c>
      <c r="M15" s="18">
        <f t="shared" si="1"/>
        <v>18</v>
      </c>
      <c r="N15" s="17">
        <v>2</v>
      </c>
      <c r="AO15" s="18" t="str">
        <f t="shared" si="4"/>
        <v>OK</v>
      </c>
      <c r="AP15" s="20">
        <f t="shared" si="5"/>
        <v>180</v>
      </c>
      <c r="AQ15" s="17" t="s">
        <v>153</v>
      </c>
      <c r="AR15" s="16" t="s">
        <v>154</v>
      </c>
    </row>
    <row r="16" spans="1:44">
      <c r="A16" s="17"/>
      <c r="B16" s="17"/>
      <c r="C16" s="17"/>
      <c r="D16" s="17"/>
      <c r="E16" s="17"/>
      <c r="F16" s="17"/>
      <c r="G16" s="17"/>
      <c r="H16" s="25"/>
      <c r="I16" s="19">
        <f t="shared" si="0"/>
        <v>0</v>
      </c>
      <c r="J16" s="17"/>
      <c r="K16" s="18">
        <f>IFERROR(SUMIFS(MOVIMIENTOS!$E:$E,MOVIMIENTOS!$C:$C,$A16,MOVIMIENTOS!$B:$B,"ENTRADA"),0)</f>
        <v>0</v>
      </c>
      <c r="L16" s="18">
        <f>IFERROR(SUMIFS(MOVIMIENTOS!$E:$E,MOVIMIENTOS!$C:$C,$A16,MOVIMIENTOS!$B:$B,"SALIDA")+SUMIFS(MOVIMIENTOS!$E:$E,MOVIMIENTOS!$C:$C,$A16,MOVIMIENTOS!$B:$B,"MERMA"),0)</f>
        <v>0</v>
      </c>
      <c r="M16" s="18">
        <f t="shared" si="1"/>
        <v>0</v>
      </c>
      <c r="N16" s="17"/>
      <c r="AO16" s="18" t="str">
        <f t="shared" si="4"/>
        <v>REPONER</v>
      </c>
      <c r="AP16" s="20">
        <f t="shared" si="5"/>
        <v>0</v>
      </c>
      <c r="AQ16" s="17"/>
      <c r="AR16" s="16"/>
    </row>
    <row r="17" spans="1:44">
      <c r="A17" s="17"/>
      <c r="B17" s="17"/>
      <c r="C17" s="17"/>
      <c r="D17" s="17"/>
      <c r="E17" s="17"/>
      <c r="F17" s="17"/>
      <c r="G17" s="17"/>
      <c r="H17" s="25"/>
      <c r="I17" s="19">
        <f t="shared" si="0"/>
        <v>0</v>
      </c>
      <c r="J17" s="17"/>
      <c r="K17" s="18">
        <f>IFERROR(SUMIFS(MOVIMIENTOS!$E:$E,MOVIMIENTOS!$C:$C,$A17,MOVIMIENTOS!$B:$B,"ENTRADA"),0)</f>
        <v>0</v>
      </c>
      <c r="L17" s="18">
        <f>IFERROR(SUMIFS(MOVIMIENTOS!$E:$E,MOVIMIENTOS!$C:$C,$A17,MOVIMIENTOS!$B:$B,"SALIDA")+SUMIFS(MOVIMIENTOS!$E:$E,MOVIMIENTOS!$C:$C,$A17,MOVIMIENTOS!$B:$B,"MERMA"),0)</f>
        <v>0</v>
      </c>
      <c r="M17" s="18">
        <f t="shared" si="1"/>
        <v>0</v>
      </c>
      <c r="N17" s="17"/>
      <c r="AO17" s="18" t="str">
        <f t="shared" si="4"/>
        <v>REPONER</v>
      </c>
      <c r="AP17" s="20">
        <f t="shared" si="5"/>
        <v>0</v>
      </c>
      <c r="AQ17" s="17"/>
      <c r="AR17" s="16"/>
    </row>
    <row r="18" spans="1:44">
      <c r="A18" s="17"/>
      <c r="B18" s="17"/>
      <c r="C18" s="17"/>
      <c r="D18" s="17"/>
      <c r="E18" s="17"/>
      <c r="F18" s="17"/>
      <c r="G18" s="17"/>
      <c r="H18" s="25"/>
      <c r="I18" s="19">
        <f t="shared" si="0"/>
        <v>0</v>
      </c>
      <c r="J18" s="17"/>
      <c r="K18" s="18">
        <f>IFERROR(SUMIFS(MOVIMIENTOS!$E:$E,MOVIMIENTOS!$C:$C,$A18,MOVIMIENTOS!$B:$B,"ENTRADA"),0)</f>
        <v>0</v>
      </c>
      <c r="L18" s="18">
        <f>IFERROR(SUMIFS(MOVIMIENTOS!$E:$E,MOVIMIENTOS!$C:$C,$A18,MOVIMIENTOS!$B:$B,"SALIDA")+SUMIFS(MOVIMIENTOS!$E:$E,MOVIMIENTOS!$C:$C,$A18,MOVIMIENTOS!$B:$B,"MERMA"),0)</f>
        <v>0</v>
      </c>
      <c r="M18" s="18">
        <f t="shared" si="1"/>
        <v>0</v>
      </c>
      <c r="N18" s="17"/>
      <c r="AO18" s="18" t="str">
        <f t="shared" si="4"/>
        <v>REPONER</v>
      </c>
      <c r="AP18" s="20">
        <f t="shared" si="5"/>
        <v>0</v>
      </c>
      <c r="AQ18" s="17"/>
      <c r="AR18" s="16"/>
    </row>
    <row r="19" spans="1:44">
      <c r="A19" s="17"/>
      <c r="B19" s="17"/>
      <c r="C19" s="17"/>
      <c r="D19" s="17"/>
      <c r="E19" s="17"/>
      <c r="F19" s="17"/>
      <c r="G19" s="17"/>
      <c r="H19" s="25"/>
      <c r="I19" s="19">
        <f t="shared" si="0"/>
        <v>0</v>
      </c>
      <c r="J19" s="17"/>
      <c r="K19" s="18">
        <f>IFERROR(SUMIFS(MOVIMIENTOS!$E:$E,MOVIMIENTOS!$C:$C,$A19,MOVIMIENTOS!$B:$B,"ENTRADA"),0)</f>
        <v>0</v>
      </c>
      <c r="L19" s="18">
        <f>IFERROR(SUMIFS(MOVIMIENTOS!$E:$E,MOVIMIENTOS!$C:$C,$A19,MOVIMIENTOS!$B:$B,"SALIDA")+SUMIFS(MOVIMIENTOS!$E:$E,MOVIMIENTOS!$C:$C,$A19,MOVIMIENTOS!$B:$B,"MERMA"),0)</f>
        <v>0</v>
      </c>
      <c r="M19" s="18">
        <f t="shared" si="1"/>
        <v>0</v>
      </c>
      <c r="N19" s="17"/>
      <c r="AO19" s="18" t="str">
        <f t="shared" si="4"/>
        <v>REPONER</v>
      </c>
      <c r="AP19" s="20">
        <f t="shared" si="5"/>
        <v>0</v>
      </c>
      <c r="AQ19" s="17"/>
      <c r="AR19" s="16"/>
    </row>
    <row r="20" spans="1:44">
      <c r="A20" s="17"/>
      <c r="B20" s="17"/>
      <c r="C20" s="17"/>
      <c r="D20" s="17"/>
      <c r="E20" s="17"/>
      <c r="F20" s="17"/>
      <c r="G20" s="17"/>
      <c r="H20" s="25"/>
      <c r="I20" s="19">
        <f t="shared" si="0"/>
        <v>0</v>
      </c>
      <c r="J20" s="17"/>
      <c r="K20" s="18">
        <f>IFERROR(SUMIFS(MOVIMIENTOS!$E:$E,MOVIMIENTOS!$C:$C,$A20,MOVIMIENTOS!$B:$B,"ENTRADA"),0)</f>
        <v>0</v>
      </c>
      <c r="L20" s="18">
        <f>IFERROR(SUMIFS(MOVIMIENTOS!$E:$E,MOVIMIENTOS!$C:$C,$A20,MOVIMIENTOS!$B:$B,"SALIDA")+SUMIFS(MOVIMIENTOS!$E:$E,MOVIMIENTOS!$C:$C,$A20,MOVIMIENTOS!$B:$B,"MERMA"),0)</f>
        <v>0</v>
      </c>
      <c r="M20" s="18">
        <f t="shared" si="1"/>
        <v>0</v>
      </c>
      <c r="N20" s="17"/>
      <c r="AO20" s="18" t="str">
        <f t="shared" si="4"/>
        <v>REPONER</v>
      </c>
      <c r="AP20" s="20">
        <f t="shared" si="5"/>
        <v>0</v>
      </c>
      <c r="AQ20" s="17"/>
      <c r="AR20" s="16"/>
    </row>
    <row r="21" spans="1:44">
      <c r="A21" s="17"/>
      <c r="B21" s="17"/>
      <c r="C21" s="17"/>
      <c r="D21" s="17"/>
      <c r="E21" s="17"/>
      <c r="F21" s="17"/>
      <c r="G21" s="17"/>
      <c r="H21" s="25"/>
      <c r="I21" s="19">
        <f t="shared" si="0"/>
        <v>0</v>
      </c>
      <c r="J21" s="17"/>
      <c r="K21" s="18">
        <f>IFERROR(SUMIFS(MOVIMIENTOS!$E:$E,MOVIMIENTOS!$C:$C,$A21,MOVIMIENTOS!$B:$B,"ENTRADA"),0)</f>
        <v>0</v>
      </c>
      <c r="L21" s="18">
        <f>IFERROR(SUMIFS(MOVIMIENTOS!$E:$E,MOVIMIENTOS!$C:$C,$A21,MOVIMIENTOS!$B:$B,"SALIDA")+SUMIFS(MOVIMIENTOS!$E:$E,MOVIMIENTOS!$C:$C,$A21,MOVIMIENTOS!$B:$B,"MERMA"),0)</f>
        <v>0</v>
      </c>
      <c r="M21" s="18">
        <f t="shared" si="1"/>
        <v>0</v>
      </c>
      <c r="N21" s="17"/>
      <c r="AO21" s="18" t="str">
        <f t="shared" si="4"/>
        <v>REPONER</v>
      </c>
      <c r="AP21" s="20">
        <f t="shared" si="5"/>
        <v>0</v>
      </c>
      <c r="AQ21" s="17"/>
      <c r="AR21" s="16"/>
    </row>
    <row r="22" spans="1:44">
      <c r="A22" s="17"/>
      <c r="B22" s="17"/>
      <c r="C22" s="17"/>
      <c r="D22" s="17"/>
      <c r="E22" s="17"/>
      <c r="F22" s="17"/>
      <c r="G22" s="17"/>
      <c r="H22" s="25"/>
      <c r="I22" s="19">
        <f t="shared" si="0"/>
        <v>0</v>
      </c>
      <c r="J22" s="17"/>
      <c r="K22" s="18">
        <f>IFERROR(SUMIFS(MOVIMIENTOS!$E:$E,MOVIMIENTOS!$C:$C,$A22,MOVIMIENTOS!$B:$B,"ENTRADA"),0)</f>
        <v>0</v>
      </c>
      <c r="L22" s="18">
        <f>IFERROR(SUMIFS(MOVIMIENTOS!$E:$E,MOVIMIENTOS!$C:$C,$A22,MOVIMIENTOS!$B:$B,"SALIDA")+SUMIFS(MOVIMIENTOS!$E:$E,MOVIMIENTOS!$C:$C,$A22,MOVIMIENTOS!$B:$B,"MERMA"),0)</f>
        <v>0</v>
      </c>
      <c r="M22" s="18">
        <f t="shared" si="1"/>
        <v>0</v>
      </c>
      <c r="N22" s="17"/>
      <c r="AO22" s="18" t="str">
        <f t="shared" si="4"/>
        <v>REPONER</v>
      </c>
      <c r="AP22" s="20">
        <f t="shared" si="5"/>
        <v>0</v>
      </c>
      <c r="AQ22" s="17"/>
      <c r="AR22" s="16"/>
    </row>
    <row r="23" spans="1:44">
      <c r="A23" s="17"/>
      <c r="B23" s="17"/>
      <c r="C23" s="17"/>
      <c r="D23" s="17"/>
      <c r="E23" s="17"/>
      <c r="F23" s="17"/>
      <c r="G23" s="17"/>
      <c r="H23" s="25"/>
      <c r="I23" s="19">
        <f t="shared" si="0"/>
        <v>0</v>
      </c>
      <c r="J23" s="17"/>
      <c r="K23" s="18">
        <f>IFERROR(SUMIFS(MOVIMIENTOS!$E:$E,MOVIMIENTOS!$C:$C,$A23,MOVIMIENTOS!$B:$B,"ENTRADA"),0)</f>
        <v>0</v>
      </c>
      <c r="L23" s="18">
        <f>IFERROR(SUMIFS(MOVIMIENTOS!$E:$E,MOVIMIENTOS!$C:$C,$A23,MOVIMIENTOS!$B:$B,"SALIDA")+SUMIFS(MOVIMIENTOS!$E:$E,MOVIMIENTOS!$C:$C,$A23,MOVIMIENTOS!$B:$B,"MERMA"),0)</f>
        <v>0</v>
      </c>
      <c r="M23" s="18">
        <f t="shared" si="1"/>
        <v>0</v>
      </c>
      <c r="N23" s="17"/>
      <c r="AO23" s="18" t="str">
        <f t="shared" si="4"/>
        <v>REPONER</v>
      </c>
      <c r="AP23" s="20">
        <f t="shared" si="5"/>
        <v>0</v>
      </c>
      <c r="AQ23" s="17"/>
      <c r="AR23" s="16"/>
    </row>
    <row r="24" spans="1:44">
      <c r="A24" s="17"/>
      <c r="B24" s="17"/>
      <c r="C24" s="17"/>
      <c r="D24" s="17"/>
      <c r="E24" s="17"/>
      <c r="F24" s="17"/>
      <c r="G24" s="17"/>
      <c r="H24" s="25"/>
      <c r="I24" s="19">
        <f t="shared" si="0"/>
        <v>0</v>
      </c>
      <c r="J24" s="17"/>
      <c r="K24" s="18">
        <f>IFERROR(SUMIFS(MOVIMIENTOS!$E:$E,MOVIMIENTOS!$C:$C,$A24,MOVIMIENTOS!$B:$B,"ENTRADA"),0)</f>
        <v>0</v>
      </c>
      <c r="L24" s="18">
        <f>IFERROR(SUMIFS(MOVIMIENTOS!$E:$E,MOVIMIENTOS!$C:$C,$A24,MOVIMIENTOS!$B:$B,"SALIDA")+SUMIFS(MOVIMIENTOS!$E:$E,MOVIMIENTOS!$C:$C,$A24,MOVIMIENTOS!$B:$B,"MERMA"),0)</f>
        <v>0</v>
      </c>
      <c r="M24" s="18">
        <f t="shared" si="1"/>
        <v>0</v>
      </c>
      <c r="N24" s="17"/>
      <c r="AO24" s="18" t="str">
        <f t="shared" si="4"/>
        <v>REPONER</v>
      </c>
      <c r="AP24" s="20">
        <f t="shared" si="5"/>
        <v>0</v>
      </c>
      <c r="AQ24" s="17"/>
      <c r="AR24" s="16"/>
    </row>
    <row r="25" spans="1:44">
      <c r="A25" s="17"/>
      <c r="B25" s="17"/>
      <c r="C25" s="17"/>
      <c r="D25" s="17"/>
      <c r="E25" s="17"/>
      <c r="F25" s="17"/>
      <c r="G25" s="17"/>
      <c r="H25" s="25"/>
      <c r="I25" s="19">
        <f t="shared" si="0"/>
        <v>0</v>
      </c>
      <c r="J25" s="17"/>
      <c r="K25" s="18">
        <f>IFERROR(SUMIFS(MOVIMIENTOS!$E:$E,MOVIMIENTOS!$C:$C,$A25,MOVIMIENTOS!$B:$B,"ENTRADA"),0)</f>
        <v>0</v>
      </c>
      <c r="L25" s="18">
        <f>IFERROR(SUMIFS(MOVIMIENTOS!$E:$E,MOVIMIENTOS!$C:$C,$A25,MOVIMIENTOS!$B:$B,"SALIDA")+SUMIFS(MOVIMIENTOS!$E:$E,MOVIMIENTOS!$C:$C,$A25,MOVIMIENTOS!$B:$B,"MERMA"),0)</f>
        <v>0</v>
      </c>
      <c r="M25" s="18">
        <f t="shared" si="1"/>
        <v>0</v>
      </c>
      <c r="N25" s="17"/>
      <c r="AO25" s="18" t="str">
        <f t="shared" si="4"/>
        <v>REPONER</v>
      </c>
      <c r="AP25" s="20">
        <f t="shared" si="5"/>
        <v>0</v>
      </c>
      <c r="AQ25" s="17"/>
      <c r="AR25" s="16"/>
    </row>
    <row r="26" spans="1:44">
      <c r="A26" s="17"/>
      <c r="B26" s="17"/>
      <c r="C26" s="17"/>
      <c r="D26" s="17"/>
      <c r="E26" s="17"/>
      <c r="F26" s="17"/>
      <c r="G26" s="17"/>
      <c r="H26" s="25"/>
      <c r="I26" s="19">
        <f t="shared" si="0"/>
        <v>0</v>
      </c>
      <c r="J26" s="17"/>
      <c r="K26" s="18">
        <f>IFERROR(SUMIFS(MOVIMIENTOS!$E:$E,MOVIMIENTOS!$C:$C,$A26,MOVIMIENTOS!$B:$B,"ENTRADA"),0)</f>
        <v>0</v>
      </c>
      <c r="L26" s="18">
        <f>IFERROR(SUMIFS(MOVIMIENTOS!$E:$E,MOVIMIENTOS!$C:$C,$A26,MOVIMIENTOS!$B:$B,"SALIDA")+SUMIFS(MOVIMIENTOS!$E:$E,MOVIMIENTOS!$C:$C,$A26,MOVIMIENTOS!$B:$B,"MERMA"),0)</f>
        <v>0</v>
      </c>
      <c r="M26" s="18">
        <f t="shared" si="1"/>
        <v>0</v>
      </c>
      <c r="N26" s="17"/>
      <c r="AO26" s="18" t="str">
        <f t="shared" si="4"/>
        <v>REPONER</v>
      </c>
      <c r="AP26" s="20">
        <f t="shared" si="5"/>
        <v>0</v>
      </c>
      <c r="AQ26" s="17"/>
      <c r="AR26" s="16"/>
    </row>
    <row r="27" spans="1:44">
      <c r="A27" s="17"/>
      <c r="B27" s="17"/>
      <c r="C27" s="17"/>
      <c r="D27" s="17"/>
      <c r="E27" s="17"/>
      <c r="F27" s="17"/>
      <c r="G27" s="17"/>
      <c r="H27" s="25"/>
      <c r="I27" s="19">
        <f t="shared" si="0"/>
        <v>0</v>
      </c>
      <c r="J27" s="17"/>
      <c r="K27" s="18">
        <f>IFERROR(SUMIFS(MOVIMIENTOS!$E:$E,MOVIMIENTOS!$C:$C,$A27,MOVIMIENTOS!$B:$B,"ENTRADA"),0)</f>
        <v>0</v>
      </c>
      <c r="L27" s="18">
        <f>IFERROR(SUMIFS(MOVIMIENTOS!$E:$E,MOVIMIENTOS!$C:$C,$A27,MOVIMIENTOS!$B:$B,"SALIDA")+SUMIFS(MOVIMIENTOS!$E:$E,MOVIMIENTOS!$C:$C,$A27,MOVIMIENTOS!$B:$B,"MERMA"),0)</f>
        <v>0</v>
      </c>
      <c r="M27" s="18">
        <f t="shared" si="1"/>
        <v>0</v>
      </c>
      <c r="N27" s="17"/>
      <c r="AO27" s="18" t="str">
        <f t="shared" si="4"/>
        <v>REPONER</v>
      </c>
      <c r="AP27" s="20">
        <f t="shared" si="5"/>
        <v>0</v>
      </c>
      <c r="AQ27" s="17"/>
      <c r="AR27" s="16"/>
    </row>
    <row r="28" spans="1:44">
      <c r="A28" s="17"/>
      <c r="B28" s="17"/>
      <c r="C28" s="17"/>
      <c r="D28" s="17"/>
      <c r="E28" s="17"/>
      <c r="F28" s="17"/>
      <c r="G28" s="17"/>
      <c r="H28" s="25"/>
      <c r="I28" s="19">
        <f t="shared" si="0"/>
        <v>0</v>
      </c>
      <c r="J28" s="17"/>
      <c r="K28" s="18">
        <f>IFERROR(SUMIFS(MOVIMIENTOS!$E:$E,MOVIMIENTOS!$C:$C,$A28,MOVIMIENTOS!$B:$B,"ENTRADA"),0)</f>
        <v>0</v>
      </c>
      <c r="L28" s="18">
        <f>IFERROR(SUMIFS(MOVIMIENTOS!$E:$E,MOVIMIENTOS!$C:$C,$A28,MOVIMIENTOS!$B:$B,"SALIDA")+SUMIFS(MOVIMIENTOS!$E:$E,MOVIMIENTOS!$C:$C,$A28,MOVIMIENTOS!$B:$B,"MERMA"),0)</f>
        <v>0</v>
      </c>
      <c r="M28" s="18">
        <f t="shared" si="1"/>
        <v>0</v>
      </c>
      <c r="N28" s="17"/>
      <c r="AO28" s="18" t="str">
        <f t="shared" si="4"/>
        <v>REPONER</v>
      </c>
      <c r="AP28" s="20">
        <f t="shared" si="5"/>
        <v>0</v>
      </c>
      <c r="AQ28" s="17"/>
      <c r="AR28" s="16"/>
    </row>
    <row r="29" spans="1:44">
      <c r="A29" s="17"/>
      <c r="B29" s="17"/>
      <c r="C29" s="17"/>
      <c r="D29" s="17"/>
      <c r="E29" s="17"/>
      <c r="F29" s="17"/>
      <c r="G29" s="17"/>
      <c r="H29" s="25"/>
      <c r="I29" s="19">
        <f t="shared" si="0"/>
        <v>0</v>
      </c>
      <c r="J29" s="17"/>
      <c r="K29" s="18">
        <f>IFERROR(SUMIFS(MOVIMIENTOS!$E:$E,MOVIMIENTOS!$C:$C,$A29,MOVIMIENTOS!$B:$B,"ENTRADA"),0)</f>
        <v>0</v>
      </c>
      <c r="L29" s="18">
        <f>IFERROR(SUMIFS(MOVIMIENTOS!$E:$E,MOVIMIENTOS!$C:$C,$A29,MOVIMIENTOS!$B:$B,"SALIDA")+SUMIFS(MOVIMIENTOS!$E:$E,MOVIMIENTOS!$C:$C,$A29,MOVIMIENTOS!$B:$B,"MERMA"),0)</f>
        <v>0</v>
      </c>
      <c r="M29" s="18">
        <f t="shared" si="1"/>
        <v>0</v>
      </c>
      <c r="N29" s="17"/>
      <c r="AO29" s="18" t="str">
        <f t="shared" si="4"/>
        <v>REPONER</v>
      </c>
      <c r="AP29" s="20">
        <f t="shared" si="5"/>
        <v>0</v>
      </c>
      <c r="AQ29" s="17"/>
      <c r="AR29" s="16"/>
    </row>
    <row r="30" spans="1:44">
      <c r="A30" s="17"/>
      <c r="B30" s="17"/>
      <c r="C30" s="17"/>
      <c r="D30" s="17"/>
      <c r="E30" s="17"/>
      <c r="F30" s="17"/>
      <c r="G30" s="17"/>
      <c r="H30" s="25"/>
      <c r="I30" s="19">
        <f t="shared" si="0"/>
        <v>0</v>
      </c>
      <c r="J30" s="17"/>
      <c r="K30" s="18">
        <f>IFERROR(SUMIFS(MOVIMIENTOS!$E:$E,MOVIMIENTOS!$C:$C,$A30,MOVIMIENTOS!$B:$B,"ENTRADA"),0)</f>
        <v>0</v>
      </c>
      <c r="L30" s="18">
        <f>IFERROR(SUMIFS(MOVIMIENTOS!$E:$E,MOVIMIENTOS!$C:$C,$A30,MOVIMIENTOS!$B:$B,"SALIDA")+SUMIFS(MOVIMIENTOS!$E:$E,MOVIMIENTOS!$C:$C,$A30,MOVIMIENTOS!$B:$B,"MERMA"),0)</f>
        <v>0</v>
      </c>
      <c r="M30" s="18">
        <f t="shared" si="1"/>
        <v>0</v>
      </c>
      <c r="N30" s="17"/>
      <c r="AO30" s="18" t="str">
        <f t="shared" si="4"/>
        <v>REPONER</v>
      </c>
      <c r="AP30" s="20">
        <f t="shared" si="5"/>
        <v>0</v>
      </c>
      <c r="AQ30" s="17"/>
      <c r="AR30" s="16"/>
    </row>
    <row r="31" spans="1:44">
      <c r="A31" s="17"/>
      <c r="B31" s="17"/>
      <c r="C31" s="17"/>
      <c r="D31" s="17"/>
      <c r="E31" s="17"/>
      <c r="F31" s="17"/>
      <c r="G31" s="17"/>
      <c r="H31" s="25"/>
      <c r="I31" s="19">
        <f t="shared" si="0"/>
        <v>0</v>
      </c>
      <c r="J31" s="17"/>
      <c r="K31" s="18">
        <f>IFERROR(SUMIFS(MOVIMIENTOS!$E:$E,MOVIMIENTOS!$C:$C,$A31,MOVIMIENTOS!$B:$B,"ENTRADA"),0)</f>
        <v>0</v>
      </c>
      <c r="L31" s="18">
        <f>IFERROR(SUMIFS(MOVIMIENTOS!$E:$E,MOVIMIENTOS!$C:$C,$A31,MOVIMIENTOS!$B:$B,"SALIDA")+SUMIFS(MOVIMIENTOS!$E:$E,MOVIMIENTOS!$C:$C,$A31,MOVIMIENTOS!$B:$B,"MERMA"),0)</f>
        <v>0</v>
      </c>
      <c r="M31" s="18">
        <f t="shared" si="1"/>
        <v>0</v>
      </c>
      <c r="N31" s="17"/>
      <c r="AO31" s="18" t="str">
        <f t="shared" si="4"/>
        <v>REPONER</v>
      </c>
      <c r="AP31" s="20">
        <f t="shared" si="5"/>
        <v>0</v>
      </c>
      <c r="AQ31" s="17"/>
      <c r="AR31" s="16"/>
    </row>
    <row r="32" spans="1:44">
      <c r="A32" s="17"/>
      <c r="B32" s="17"/>
      <c r="C32" s="17"/>
      <c r="D32" s="17"/>
      <c r="E32" s="17"/>
      <c r="F32" s="17"/>
      <c r="G32" s="17"/>
      <c r="H32" s="25"/>
      <c r="I32" s="19">
        <f t="shared" si="0"/>
        <v>0</v>
      </c>
      <c r="J32" s="17"/>
      <c r="K32" s="18">
        <f>IFERROR(SUMIFS(MOVIMIENTOS!$E:$E,MOVIMIENTOS!$C:$C,$A32,MOVIMIENTOS!$B:$B,"ENTRADA"),0)</f>
        <v>0</v>
      </c>
      <c r="L32" s="18">
        <f>IFERROR(SUMIFS(MOVIMIENTOS!$E:$E,MOVIMIENTOS!$C:$C,$A32,MOVIMIENTOS!$B:$B,"SALIDA")+SUMIFS(MOVIMIENTOS!$E:$E,MOVIMIENTOS!$C:$C,$A32,MOVIMIENTOS!$B:$B,"MERMA"),0)</f>
        <v>0</v>
      </c>
      <c r="M32" s="18">
        <f t="shared" si="1"/>
        <v>0</v>
      </c>
      <c r="N32" s="17"/>
      <c r="AO32" s="18" t="str">
        <f t="shared" si="4"/>
        <v>REPONER</v>
      </c>
      <c r="AP32" s="20">
        <f t="shared" si="5"/>
        <v>0</v>
      </c>
      <c r="AQ32" s="17"/>
      <c r="AR32" s="16"/>
    </row>
    <row r="33" spans="1:44">
      <c r="A33" s="17"/>
      <c r="B33" s="17"/>
      <c r="C33" s="17"/>
      <c r="D33" s="17"/>
      <c r="E33" s="17"/>
      <c r="F33" s="17"/>
      <c r="G33" s="17"/>
      <c r="H33" s="25"/>
      <c r="I33" s="19">
        <f t="shared" si="0"/>
        <v>0</v>
      </c>
      <c r="J33" s="17"/>
      <c r="K33" s="18">
        <f>IFERROR(SUMIFS(MOVIMIENTOS!$E:$E,MOVIMIENTOS!$C:$C,$A33,MOVIMIENTOS!$B:$B,"ENTRADA"),0)</f>
        <v>0</v>
      </c>
      <c r="L33" s="18">
        <f>IFERROR(SUMIFS(MOVIMIENTOS!$E:$E,MOVIMIENTOS!$C:$C,$A33,MOVIMIENTOS!$B:$B,"SALIDA")+SUMIFS(MOVIMIENTOS!$E:$E,MOVIMIENTOS!$C:$C,$A33,MOVIMIENTOS!$B:$B,"MERMA"),0)</f>
        <v>0</v>
      </c>
      <c r="M33" s="18">
        <f t="shared" si="1"/>
        <v>0</v>
      </c>
      <c r="N33" s="17"/>
      <c r="AO33" s="18" t="str">
        <f t="shared" si="4"/>
        <v>REPONER</v>
      </c>
      <c r="AP33" s="20">
        <f t="shared" si="5"/>
        <v>0</v>
      </c>
      <c r="AQ33" s="17"/>
      <c r="AR33" s="16"/>
    </row>
    <row r="34" spans="1:44">
      <c r="A34" s="17"/>
      <c r="B34" s="17"/>
      <c r="C34" s="17"/>
      <c r="D34" s="17"/>
      <c r="E34" s="17"/>
      <c r="F34" s="17"/>
      <c r="G34" s="17"/>
      <c r="H34" s="25"/>
      <c r="I34" s="19">
        <f t="shared" si="0"/>
        <v>0</v>
      </c>
      <c r="J34" s="17"/>
      <c r="K34" s="18">
        <f>IFERROR(SUMIFS(MOVIMIENTOS!$E:$E,MOVIMIENTOS!$C:$C,$A34,MOVIMIENTOS!$B:$B,"ENTRADA"),0)</f>
        <v>0</v>
      </c>
      <c r="L34" s="18">
        <f>IFERROR(SUMIFS(MOVIMIENTOS!$E:$E,MOVIMIENTOS!$C:$C,$A34,MOVIMIENTOS!$B:$B,"SALIDA")+SUMIFS(MOVIMIENTOS!$E:$E,MOVIMIENTOS!$C:$C,$A34,MOVIMIENTOS!$B:$B,"MERMA"),0)</f>
        <v>0</v>
      </c>
      <c r="M34" s="18">
        <f t="shared" si="1"/>
        <v>0</v>
      </c>
      <c r="N34" s="17"/>
      <c r="AO34" s="18" t="str">
        <f t="shared" si="4"/>
        <v>REPONER</v>
      </c>
      <c r="AP34" s="20">
        <f t="shared" si="5"/>
        <v>0</v>
      </c>
      <c r="AQ34" s="17"/>
      <c r="AR34" s="16"/>
    </row>
    <row r="35" spans="1:44">
      <c r="A35" s="17"/>
      <c r="B35" s="17"/>
      <c r="C35" s="17"/>
      <c r="D35" s="17"/>
      <c r="E35" s="17"/>
      <c r="F35" s="17"/>
      <c r="G35" s="17"/>
      <c r="H35" s="25"/>
      <c r="I35" s="19">
        <f t="shared" si="0"/>
        <v>0</v>
      </c>
      <c r="J35" s="17"/>
      <c r="K35" s="18">
        <f>IFERROR(SUMIFS(MOVIMIENTOS!$E:$E,MOVIMIENTOS!$C:$C,$A35,MOVIMIENTOS!$B:$B,"ENTRADA"),0)</f>
        <v>0</v>
      </c>
      <c r="L35" s="18">
        <f>IFERROR(SUMIFS(MOVIMIENTOS!$E:$E,MOVIMIENTOS!$C:$C,$A35,MOVIMIENTOS!$B:$B,"SALIDA")+SUMIFS(MOVIMIENTOS!$E:$E,MOVIMIENTOS!$C:$C,$A35,MOVIMIENTOS!$B:$B,"MERMA"),0)</f>
        <v>0</v>
      </c>
      <c r="M35" s="18">
        <f t="shared" si="1"/>
        <v>0</v>
      </c>
      <c r="N35" s="17"/>
      <c r="AO35" s="18" t="str">
        <f t="shared" si="4"/>
        <v>REPONER</v>
      </c>
      <c r="AP35" s="20">
        <f t="shared" si="5"/>
        <v>0</v>
      </c>
      <c r="AQ35" s="17"/>
      <c r="AR35" s="16"/>
    </row>
    <row r="36" spans="1:44">
      <c r="A36" s="17"/>
      <c r="B36" s="17"/>
      <c r="C36" s="17"/>
      <c r="D36" s="17"/>
      <c r="E36" s="17"/>
      <c r="F36" s="17"/>
      <c r="G36" s="17"/>
      <c r="H36" s="25"/>
      <c r="I36" s="19">
        <f t="shared" si="0"/>
        <v>0</v>
      </c>
      <c r="J36" s="17"/>
      <c r="K36" s="18">
        <f>IFERROR(SUMIFS(MOVIMIENTOS!$E:$E,MOVIMIENTOS!$C:$C,$A36,MOVIMIENTOS!$B:$B,"ENTRADA"),0)</f>
        <v>0</v>
      </c>
      <c r="L36" s="18">
        <f>IFERROR(SUMIFS(MOVIMIENTOS!$E:$E,MOVIMIENTOS!$C:$C,$A36,MOVIMIENTOS!$B:$B,"SALIDA")+SUMIFS(MOVIMIENTOS!$E:$E,MOVIMIENTOS!$C:$C,$A36,MOVIMIENTOS!$B:$B,"MERMA"),0)</f>
        <v>0</v>
      </c>
      <c r="M36" s="18">
        <f t="shared" si="1"/>
        <v>0</v>
      </c>
      <c r="N36" s="17"/>
      <c r="AO36" s="18" t="str">
        <f t="shared" si="4"/>
        <v>REPONER</v>
      </c>
      <c r="AP36" s="20">
        <f t="shared" si="5"/>
        <v>0</v>
      </c>
      <c r="AQ36" s="17"/>
      <c r="AR36" s="16"/>
    </row>
    <row r="37" spans="1:44">
      <c r="A37" s="17"/>
      <c r="B37" s="17"/>
      <c r="C37" s="17"/>
      <c r="D37" s="17"/>
      <c r="E37" s="17"/>
      <c r="F37" s="17"/>
      <c r="G37" s="17"/>
      <c r="H37" s="25"/>
      <c r="I37" s="19">
        <f t="shared" si="0"/>
        <v>0</v>
      </c>
      <c r="J37" s="17"/>
      <c r="K37" s="18">
        <f>IFERROR(SUMIFS(MOVIMIENTOS!$E:$E,MOVIMIENTOS!$C:$C,$A37,MOVIMIENTOS!$B:$B,"ENTRADA"),0)</f>
        <v>0</v>
      </c>
      <c r="L37" s="18">
        <f>IFERROR(SUMIFS(MOVIMIENTOS!$E:$E,MOVIMIENTOS!$C:$C,$A37,MOVIMIENTOS!$B:$B,"SALIDA")+SUMIFS(MOVIMIENTOS!$E:$E,MOVIMIENTOS!$C:$C,$A37,MOVIMIENTOS!$B:$B,"MERMA"),0)</f>
        <v>0</v>
      </c>
      <c r="M37" s="18">
        <f t="shared" si="1"/>
        <v>0</v>
      </c>
      <c r="N37" s="17"/>
      <c r="AO37" s="18" t="str">
        <f t="shared" si="4"/>
        <v>REPONER</v>
      </c>
      <c r="AP37" s="20">
        <f t="shared" si="5"/>
        <v>0</v>
      </c>
      <c r="AQ37" s="17"/>
      <c r="AR37" s="16"/>
    </row>
    <row r="38" spans="1:44">
      <c r="A38" s="17"/>
      <c r="B38" s="17"/>
      <c r="C38" s="17"/>
      <c r="D38" s="17"/>
      <c r="E38" s="17"/>
      <c r="F38" s="17"/>
      <c r="G38" s="17"/>
      <c r="H38" s="25"/>
      <c r="I38" s="19">
        <f t="shared" si="0"/>
        <v>0</v>
      </c>
      <c r="J38" s="17"/>
      <c r="K38" s="18">
        <f>IFERROR(SUMIFS(MOVIMIENTOS!$E:$E,MOVIMIENTOS!$C:$C,$A38,MOVIMIENTOS!$B:$B,"ENTRADA"),0)</f>
        <v>0</v>
      </c>
      <c r="L38" s="18">
        <f>IFERROR(SUMIFS(MOVIMIENTOS!$E:$E,MOVIMIENTOS!$C:$C,$A38,MOVIMIENTOS!$B:$B,"SALIDA")+SUMIFS(MOVIMIENTOS!$E:$E,MOVIMIENTOS!$C:$C,$A38,MOVIMIENTOS!$B:$B,"MERMA"),0)</f>
        <v>0</v>
      </c>
      <c r="M38" s="18">
        <f t="shared" si="1"/>
        <v>0</v>
      </c>
      <c r="N38" s="17"/>
      <c r="AO38" s="18" t="str">
        <f t="shared" si="4"/>
        <v>REPONER</v>
      </c>
      <c r="AP38" s="20">
        <f t="shared" si="5"/>
        <v>0</v>
      </c>
      <c r="AQ38" s="17"/>
      <c r="AR38" s="16"/>
    </row>
    <row r="39" spans="1:44">
      <c r="A39" s="17"/>
      <c r="B39" s="17"/>
      <c r="C39" s="17"/>
      <c r="D39" s="17"/>
      <c r="E39" s="17"/>
      <c r="F39" s="17"/>
      <c r="G39" s="17"/>
      <c r="H39" s="25"/>
      <c r="I39" s="19">
        <f t="shared" si="0"/>
        <v>0</v>
      </c>
      <c r="J39" s="17"/>
      <c r="K39" s="18">
        <f>IFERROR(SUMIFS(MOVIMIENTOS!$E:$E,MOVIMIENTOS!$C:$C,$A39,MOVIMIENTOS!$B:$B,"ENTRADA"),0)</f>
        <v>0</v>
      </c>
      <c r="L39" s="18">
        <f>IFERROR(SUMIFS(MOVIMIENTOS!$E:$E,MOVIMIENTOS!$C:$C,$A39,MOVIMIENTOS!$B:$B,"SALIDA")+SUMIFS(MOVIMIENTOS!$E:$E,MOVIMIENTOS!$C:$C,$A39,MOVIMIENTOS!$B:$B,"MERMA"),0)</f>
        <v>0</v>
      </c>
      <c r="M39" s="18">
        <f t="shared" si="1"/>
        <v>0</v>
      </c>
      <c r="N39" s="17"/>
      <c r="AO39" s="18" t="str">
        <f t="shared" si="4"/>
        <v>REPONER</v>
      </c>
      <c r="AP39" s="20">
        <f t="shared" si="5"/>
        <v>0</v>
      </c>
      <c r="AQ39" s="17"/>
      <c r="AR39" s="16"/>
    </row>
    <row r="40" spans="1:44">
      <c r="A40" s="17"/>
      <c r="B40" s="17"/>
      <c r="C40" s="17"/>
      <c r="D40" s="17"/>
      <c r="E40" s="17"/>
      <c r="F40" s="17"/>
      <c r="G40" s="17"/>
      <c r="H40" s="25"/>
      <c r="I40" s="19">
        <f t="shared" si="0"/>
        <v>0</v>
      </c>
      <c r="J40" s="17"/>
      <c r="K40" s="18">
        <f>IFERROR(SUMIFS(MOVIMIENTOS!$E:$E,MOVIMIENTOS!$C:$C,$A40,MOVIMIENTOS!$B:$B,"ENTRADA"),0)</f>
        <v>0</v>
      </c>
      <c r="L40" s="18">
        <f>IFERROR(SUMIFS(MOVIMIENTOS!$E:$E,MOVIMIENTOS!$C:$C,$A40,MOVIMIENTOS!$B:$B,"SALIDA")+SUMIFS(MOVIMIENTOS!$E:$E,MOVIMIENTOS!$C:$C,$A40,MOVIMIENTOS!$B:$B,"MERMA"),0)</f>
        <v>0</v>
      </c>
      <c r="M40" s="18">
        <f t="shared" si="1"/>
        <v>0</v>
      </c>
      <c r="N40" s="17"/>
      <c r="AO40" s="18" t="str">
        <f t="shared" si="4"/>
        <v>REPONER</v>
      </c>
      <c r="AP40" s="20">
        <f t="shared" si="5"/>
        <v>0</v>
      </c>
      <c r="AQ40" s="17"/>
      <c r="AR40" s="16"/>
    </row>
    <row r="41" spans="1:44">
      <c r="A41" s="17"/>
      <c r="B41" s="17"/>
      <c r="C41" s="17"/>
      <c r="D41" s="17"/>
      <c r="E41" s="17"/>
      <c r="F41" s="17"/>
      <c r="G41" s="17"/>
      <c r="H41" s="25"/>
      <c r="I41" s="19">
        <f t="shared" si="0"/>
        <v>0</v>
      </c>
      <c r="J41" s="17"/>
      <c r="K41" s="18">
        <f>IFERROR(SUMIFS(MOVIMIENTOS!$E:$E,MOVIMIENTOS!$C:$C,$A41,MOVIMIENTOS!$B:$B,"ENTRADA"),0)</f>
        <v>0</v>
      </c>
      <c r="L41" s="18">
        <f>IFERROR(SUMIFS(MOVIMIENTOS!$E:$E,MOVIMIENTOS!$C:$C,$A41,MOVIMIENTOS!$B:$B,"SALIDA")+SUMIFS(MOVIMIENTOS!$E:$E,MOVIMIENTOS!$C:$C,$A41,MOVIMIENTOS!$B:$B,"MERMA"),0)</f>
        <v>0</v>
      </c>
      <c r="M41" s="18">
        <f t="shared" si="1"/>
        <v>0</v>
      </c>
      <c r="N41" s="17"/>
      <c r="AO41" s="18" t="str">
        <f t="shared" si="4"/>
        <v>REPONER</v>
      </c>
      <c r="AP41" s="20">
        <f t="shared" si="5"/>
        <v>0</v>
      </c>
      <c r="AQ41" s="17"/>
      <c r="AR41" s="16"/>
    </row>
    <row r="42" spans="1:44">
      <c r="A42" s="17"/>
      <c r="B42" s="17"/>
      <c r="C42" s="17"/>
      <c r="D42" s="17"/>
      <c r="E42" s="17"/>
      <c r="F42" s="17"/>
      <c r="G42" s="17"/>
      <c r="H42" s="25"/>
      <c r="I42" s="19">
        <f t="shared" si="0"/>
        <v>0</v>
      </c>
      <c r="J42" s="17"/>
      <c r="K42" s="18">
        <f>IFERROR(SUMIFS(MOVIMIENTOS!$E:$E,MOVIMIENTOS!$C:$C,$A42,MOVIMIENTOS!$B:$B,"ENTRADA"),0)</f>
        <v>0</v>
      </c>
      <c r="L42" s="18">
        <f>IFERROR(SUMIFS(MOVIMIENTOS!$E:$E,MOVIMIENTOS!$C:$C,$A42,MOVIMIENTOS!$B:$B,"SALIDA")+SUMIFS(MOVIMIENTOS!$E:$E,MOVIMIENTOS!$C:$C,$A42,MOVIMIENTOS!$B:$B,"MERMA"),0)</f>
        <v>0</v>
      </c>
      <c r="M42" s="18">
        <f t="shared" si="1"/>
        <v>0</v>
      </c>
      <c r="N42" s="17"/>
      <c r="AO42" s="18" t="str">
        <f t="shared" si="4"/>
        <v>REPONER</v>
      </c>
      <c r="AP42" s="20">
        <f t="shared" si="5"/>
        <v>0</v>
      </c>
      <c r="AQ42" s="17"/>
      <c r="AR42" s="16"/>
    </row>
    <row r="43" spans="1:44">
      <c r="A43" s="17"/>
      <c r="B43" s="17"/>
      <c r="C43" s="17"/>
      <c r="D43" s="17"/>
      <c r="E43" s="17"/>
      <c r="F43" s="17"/>
      <c r="G43" s="17"/>
      <c r="H43" s="25"/>
      <c r="I43" s="19">
        <f t="shared" si="0"/>
        <v>0</v>
      </c>
      <c r="J43" s="17"/>
      <c r="K43" s="18">
        <f>IFERROR(SUMIFS(MOVIMIENTOS!$E:$E,MOVIMIENTOS!$C:$C,$A43,MOVIMIENTOS!$B:$B,"ENTRADA"),0)</f>
        <v>0</v>
      </c>
      <c r="L43" s="18">
        <f>IFERROR(SUMIFS(MOVIMIENTOS!$E:$E,MOVIMIENTOS!$C:$C,$A43,MOVIMIENTOS!$B:$B,"SALIDA")+SUMIFS(MOVIMIENTOS!$E:$E,MOVIMIENTOS!$C:$C,$A43,MOVIMIENTOS!$B:$B,"MERMA"),0)</f>
        <v>0</v>
      </c>
      <c r="M43" s="18">
        <f t="shared" si="1"/>
        <v>0</v>
      </c>
      <c r="N43" s="17"/>
      <c r="AO43" s="18" t="str">
        <f t="shared" si="4"/>
        <v>REPONER</v>
      </c>
      <c r="AP43" s="20">
        <f t="shared" si="5"/>
        <v>0</v>
      </c>
      <c r="AQ43" s="17"/>
      <c r="AR43" s="16"/>
    </row>
    <row r="44" spans="1:44">
      <c r="A44" s="17"/>
      <c r="B44" s="17"/>
      <c r="C44" s="17"/>
      <c r="D44" s="17"/>
      <c r="E44" s="17"/>
      <c r="F44" s="17"/>
      <c r="G44" s="17"/>
      <c r="H44" s="25"/>
      <c r="I44" s="19">
        <f t="shared" si="0"/>
        <v>0</v>
      </c>
      <c r="J44" s="17"/>
      <c r="K44" s="18">
        <f>IFERROR(SUMIFS(MOVIMIENTOS!$E:$E,MOVIMIENTOS!$C:$C,$A44,MOVIMIENTOS!$B:$B,"ENTRADA"),0)</f>
        <v>0</v>
      </c>
      <c r="L44" s="18">
        <f>IFERROR(SUMIFS(MOVIMIENTOS!$E:$E,MOVIMIENTOS!$C:$C,$A44,MOVIMIENTOS!$B:$B,"SALIDA")+SUMIFS(MOVIMIENTOS!$E:$E,MOVIMIENTOS!$C:$C,$A44,MOVIMIENTOS!$B:$B,"MERMA"),0)</f>
        <v>0</v>
      </c>
      <c r="M44" s="18">
        <f t="shared" si="1"/>
        <v>0</v>
      </c>
      <c r="N44" s="17"/>
      <c r="AO44" s="18" t="str">
        <f t="shared" si="4"/>
        <v>REPONER</v>
      </c>
      <c r="AP44" s="20">
        <f t="shared" si="5"/>
        <v>0</v>
      </c>
      <c r="AQ44" s="17"/>
      <c r="AR44" s="16"/>
    </row>
    <row r="45" spans="1:44">
      <c r="A45" s="17"/>
      <c r="B45" s="17"/>
      <c r="C45" s="17"/>
      <c r="D45" s="17"/>
      <c r="E45" s="17"/>
      <c r="F45" s="17"/>
      <c r="G45" s="17"/>
      <c r="H45" s="25"/>
      <c r="I45" s="19">
        <f t="shared" si="0"/>
        <v>0</v>
      </c>
      <c r="J45" s="17"/>
      <c r="K45" s="18">
        <f>IFERROR(SUMIFS(MOVIMIENTOS!$E:$E,MOVIMIENTOS!$C:$C,$A45,MOVIMIENTOS!$B:$B,"ENTRADA"),0)</f>
        <v>0</v>
      </c>
      <c r="L45" s="18">
        <f>IFERROR(SUMIFS(MOVIMIENTOS!$E:$E,MOVIMIENTOS!$C:$C,$A45,MOVIMIENTOS!$B:$B,"SALIDA")+SUMIFS(MOVIMIENTOS!$E:$E,MOVIMIENTOS!$C:$C,$A45,MOVIMIENTOS!$B:$B,"MERMA"),0)</f>
        <v>0</v>
      </c>
      <c r="M45" s="18">
        <f t="shared" si="1"/>
        <v>0</v>
      </c>
      <c r="N45" s="17"/>
      <c r="AO45" s="18" t="str">
        <f t="shared" si="4"/>
        <v>REPONER</v>
      </c>
      <c r="AP45" s="20">
        <f t="shared" si="5"/>
        <v>0</v>
      </c>
      <c r="AQ45" s="17"/>
      <c r="AR45" s="16"/>
    </row>
    <row r="46" spans="1:44">
      <c r="A46" s="17"/>
      <c r="B46" s="17"/>
      <c r="C46" s="17"/>
      <c r="D46" s="17"/>
      <c r="E46" s="17"/>
      <c r="F46" s="17"/>
      <c r="G46" s="17"/>
      <c r="H46" s="25"/>
      <c r="I46" s="19">
        <f t="shared" si="0"/>
        <v>0</v>
      </c>
      <c r="J46" s="17"/>
      <c r="K46" s="18">
        <f>IFERROR(SUMIFS(MOVIMIENTOS!$E:$E,MOVIMIENTOS!$C:$C,$A46,MOVIMIENTOS!$B:$B,"ENTRADA"),0)</f>
        <v>0</v>
      </c>
      <c r="L46" s="18">
        <f>IFERROR(SUMIFS(MOVIMIENTOS!$E:$E,MOVIMIENTOS!$C:$C,$A46,MOVIMIENTOS!$B:$B,"SALIDA")+SUMIFS(MOVIMIENTOS!$E:$E,MOVIMIENTOS!$C:$C,$A46,MOVIMIENTOS!$B:$B,"MERMA"),0)</f>
        <v>0</v>
      </c>
      <c r="M46" s="18">
        <f t="shared" si="1"/>
        <v>0</v>
      </c>
      <c r="N46" s="17"/>
      <c r="AO46" s="18" t="str">
        <f t="shared" si="4"/>
        <v>REPONER</v>
      </c>
      <c r="AP46" s="20">
        <f t="shared" si="5"/>
        <v>0</v>
      </c>
      <c r="AQ46" s="17"/>
      <c r="AR46" s="16"/>
    </row>
    <row r="47" spans="1:44">
      <c r="A47" s="17"/>
      <c r="B47" s="17"/>
      <c r="C47" s="17"/>
      <c r="D47" s="17"/>
      <c r="E47" s="17"/>
      <c r="F47" s="17"/>
      <c r="G47" s="17"/>
      <c r="H47" s="25"/>
      <c r="I47" s="19">
        <f t="shared" si="0"/>
        <v>0</v>
      </c>
      <c r="J47" s="17"/>
      <c r="K47" s="18">
        <f>IFERROR(SUMIFS(MOVIMIENTOS!$E:$E,MOVIMIENTOS!$C:$C,$A47,MOVIMIENTOS!$B:$B,"ENTRADA"),0)</f>
        <v>0</v>
      </c>
      <c r="L47" s="18">
        <f>IFERROR(SUMIFS(MOVIMIENTOS!$E:$E,MOVIMIENTOS!$C:$C,$A47,MOVIMIENTOS!$B:$B,"SALIDA")+SUMIFS(MOVIMIENTOS!$E:$E,MOVIMIENTOS!$C:$C,$A47,MOVIMIENTOS!$B:$B,"MERMA"),0)</f>
        <v>0</v>
      </c>
      <c r="M47" s="18">
        <f t="shared" si="1"/>
        <v>0</v>
      </c>
      <c r="N47" s="17"/>
      <c r="AO47" s="18" t="str">
        <f t="shared" si="4"/>
        <v>REPONER</v>
      </c>
      <c r="AP47" s="20">
        <f t="shared" si="5"/>
        <v>0</v>
      </c>
      <c r="AQ47" s="17"/>
      <c r="AR47" s="16"/>
    </row>
    <row r="48" spans="1:44">
      <c r="A48" s="17"/>
      <c r="B48" s="17"/>
      <c r="C48" s="17"/>
      <c r="D48" s="17"/>
      <c r="E48" s="17"/>
      <c r="F48" s="17"/>
      <c r="G48" s="17"/>
      <c r="H48" s="25"/>
      <c r="I48" s="19">
        <f t="shared" si="0"/>
        <v>0</v>
      </c>
      <c r="J48" s="17"/>
      <c r="K48" s="18">
        <f>IFERROR(SUMIFS(MOVIMIENTOS!$E:$E,MOVIMIENTOS!$C:$C,$A48,MOVIMIENTOS!$B:$B,"ENTRADA"),0)</f>
        <v>0</v>
      </c>
      <c r="L48" s="18">
        <f>IFERROR(SUMIFS(MOVIMIENTOS!$E:$E,MOVIMIENTOS!$C:$C,$A48,MOVIMIENTOS!$B:$B,"SALIDA")+SUMIFS(MOVIMIENTOS!$E:$E,MOVIMIENTOS!$C:$C,$A48,MOVIMIENTOS!$B:$B,"MERMA"),0)</f>
        <v>0</v>
      </c>
      <c r="M48" s="18">
        <f t="shared" si="1"/>
        <v>0</v>
      </c>
      <c r="N48" s="17"/>
      <c r="AO48" s="18" t="str">
        <f t="shared" si="4"/>
        <v>REPONER</v>
      </c>
      <c r="AP48" s="20">
        <f t="shared" si="5"/>
        <v>0</v>
      </c>
      <c r="AQ48" s="17"/>
      <c r="AR48" s="16"/>
    </row>
    <row r="49" spans="1:44">
      <c r="A49" s="17"/>
      <c r="B49" s="17"/>
      <c r="C49" s="17"/>
      <c r="D49" s="17"/>
      <c r="E49" s="17"/>
      <c r="F49" s="17"/>
      <c r="G49" s="17"/>
      <c r="H49" s="25"/>
      <c r="I49" s="19">
        <f t="shared" si="0"/>
        <v>0</v>
      </c>
      <c r="J49" s="17"/>
      <c r="K49" s="18">
        <f>IFERROR(SUMIFS(MOVIMIENTOS!$E:$E,MOVIMIENTOS!$C:$C,$A49,MOVIMIENTOS!$B:$B,"ENTRADA"),0)</f>
        <v>0</v>
      </c>
      <c r="L49" s="18">
        <f>IFERROR(SUMIFS(MOVIMIENTOS!$E:$E,MOVIMIENTOS!$C:$C,$A49,MOVIMIENTOS!$B:$B,"SALIDA")+SUMIFS(MOVIMIENTOS!$E:$E,MOVIMIENTOS!$C:$C,$A49,MOVIMIENTOS!$B:$B,"MERMA"),0)</f>
        <v>0</v>
      </c>
      <c r="M49" s="18">
        <f t="shared" si="1"/>
        <v>0</v>
      </c>
      <c r="N49" s="17"/>
      <c r="AO49" s="18" t="str">
        <f t="shared" si="4"/>
        <v>REPONER</v>
      </c>
      <c r="AP49" s="20">
        <f t="shared" si="5"/>
        <v>0</v>
      </c>
      <c r="AQ49" s="17"/>
      <c r="AR49" s="16"/>
    </row>
    <row r="50" spans="1:44">
      <c r="A50" s="17"/>
      <c r="B50" s="17"/>
      <c r="C50" s="17"/>
      <c r="D50" s="17"/>
      <c r="E50" s="17"/>
      <c r="F50" s="17"/>
      <c r="G50" s="17"/>
      <c r="H50" s="25"/>
      <c r="I50" s="19">
        <f t="shared" si="0"/>
        <v>0</v>
      </c>
      <c r="J50" s="17"/>
      <c r="K50" s="18">
        <f>IFERROR(SUMIFS(MOVIMIENTOS!$E:$E,MOVIMIENTOS!$C:$C,$A50,MOVIMIENTOS!$B:$B,"ENTRADA"),0)</f>
        <v>0</v>
      </c>
      <c r="L50" s="18">
        <f>IFERROR(SUMIFS(MOVIMIENTOS!$E:$E,MOVIMIENTOS!$C:$C,$A50,MOVIMIENTOS!$B:$B,"SALIDA")+SUMIFS(MOVIMIENTOS!$E:$E,MOVIMIENTOS!$C:$C,$A50,MOVIMIENTOS!$B:$B,"MERMA"),0)</f>
        <v>0</v>
      </c>
      <c r="M50" s="18">
        <f t="shared" si="1"/>
        <v>0</v>
      </c>
      <c r="N50" s="17"/>
      <c r="AO50" s="18" t="str">
        <f t="shared" si="4"/>
        <v>REPONER</v>
      </c>
      <c r="AP50" s="20">
        <f t="shared" si="5"/>
        <v>0</v>
      </c>
      <c r="AQ50" s="17"/>
      <c r="AR50" s="16"/>
    </row>
    <row r="51" spans="1:44">
      <c r="A51" s="17"/>
      <c r="B51" s="17"/>
      <c r="C51" s="17"/>
      <c r="D51" s="17"/>
      <c r="E51" s="17"/>
      <c r="F51" s="17"/>
      <c r="G51" s="17"/>
      <c r="H51" s="25"/>
      <c r="I51" s="19">
        <f t="shared" si="0"/>
        <v>0</v>
      </c>
      <c r="J51" s="17"/>
      <c r="K51" s="18">
        <f>IFERROR(SUMIFS(MOVIMIENTOS!$E:$E,MOVIMIENTOS!$C:$C,$A51,MOVIMIENTOS!$B:$B,"ENTRADA"),0)</f>
        <v>0</v>
      </c>
      <c r="L51" s="18">
        <f>IFERROR(SUMIFS(MOVIMIENTOS!$E:$E,MOVIMIENTOS!$C:$C,$A51,MOVIMIENTOS!$B:$B,"SALIDA")+SUMIFS(MOVIMIENTOS!$E:$E,MOVIMIENTOS!$C:$C,$A51,MOVIMIENTOS!$B:$B,"MERMA"),0)</f>
        <v>0</v>
      </c>
      <c r="M51" s="18">
        <f t="shared" si="1"/>
        <v>0</v>
      </c>
      <c r="N51" s="17"/>
      <c r="AO51" s="18" t="str">
        <f t="shared" si="4"/>
        <v>REPONER</v>
      </c>
      <c r="AP51" s="20">
        <f t="shared" si="5"/>
        <v>0</v>
      </c>
      <c r="AQ51" s="17"/>
      <c r="AR51" s="16"/>
    </row>
    <row r="52" spans="1:44">
      <c r="A52" s="17"/>
      <c r="B52" s="17"/>
      <c r="C52" s="17"/>
      <c r="D52" s="17"/>
      <c r="E52" s="17"/>
      <c r="F52" s="17"/>
      <c r="G52" s="17"/>
      <c r="H52" s="25"/>
      <c r="I52" s="19">
        <f t="shared" si="0"/>
        <v>0</v>
      </c>
      <c r="J52" s="17"/>
      <c r="K52" s="18">
        <f>IFERROR(SUMIFS(MOVIMIENTOS!$E:$E,MOVIMIENTOS!$C:$C,$A52,MOVIMIENTOS!$B:$B,"ENTRADA"),0)</f>
        <v>0</v>
      </c>
      <c r="L52" s="18">
        <f>IFERROR(SUMIFS(MOVIMIENTOS!$E:$E,MOVIMIENTOS!$C:$C,$A52,MOVIMIENTOS!$B:$B,"SALIDA")+SUMIFS(MOVIMIENTOS!$E:$E,MOVIMIENTOS!$C:$C,$A52,MOVIMIENTOS!$B:$B,"MERMA"),0)</f>
        <v>0</v>
      </c>
      <c r="M52" s="18">
        <f t="shared" si="1"/>
        <v>0</v>
      </c>
      <c r="N52" s="17"/>
      <c r="AO52" s="18" t="str">
        <f t="shared" si="4"/>
        <v>REPONER</v>
      </c>
      <c r="AP52" s="20">
        <f t="shared" si="5"/>
        <v>0</v>
      </c>
      <c r="AQ52" s="17"/>
      <c r="AR52" s="16"/>
    </row>
    <row r="53" spans="1:44">
      <c r="A53" s="17"/>
      <c r="B53" s="17"/>
      <c r="C53" s="17"/>
      <c r="D53" s="17"/>
      <c r="E53" s="17"/>
      <c r="F53" s="17"/>
      <c r="G53" s="17"/>
      <c r="H53" s="25"/>
      <c r="I53" s="19">
        <f t="shared" si="0"/>
        <v>0</v>
      </c>
      <c r="J53" s="17"/>
      <c r="K53" s="18">
        <f>IFERROR(SUMIFS(MOVIMIENTOS!$E:$E,MOVIMIENTOS!$C:$C,$A53,MOVIMIENTOS!$B:$B,"ENTRADA"),0)</f>
        <v>0</v>
      </c>
      <c r="L53" s="18">
        <f>IFERROR(SUMIFS(MOVIMIENTOS!$E:$E,MOVIMIENTOS!$C:$C,$A53,MOVIMIENTOS!$B:$B,"SALIDA")+SUMIFS(MOVIMIENTOS!$E:$E,MOVIMIENTOS!$C:$C,$A53,MOVIMIENTOS!$B:$B,"MERMA"),0)</f>
        <v>0</v>
      </c>
      <c r="M53" s="18">
        <f t="shared" si="1"/>
        <v>0</v>
      </c>
      <c r="N53" s="17"/>
      <c r="AO53" s="18" t="str">
        <f t="shared" si="4"/>
        <v>REPONER</v>
      </c>
      <c r="AP53" s="20">
        <f t="shared" si="5"/>
        <v>0</v>
      </c>
      <c r="AQ53" s="17"/>
      <c r="AR53" s="16"/>
    </row>
    <row r="54" spans="1:44">
      <c r="A54" s="17"/>
      <c r="B54" s="17"/>
      <c r="C54" s="17"/>
      <c r="D54" s="17"/>
      <c r="E54" s="17"/>
      <c r="F54" s="17"/>
      <c r="G54" s="17"/>
      <c r="H54" s="25"/>
      <c r="I54" s="19">
        <f t="shared" si="0"/>
        <v>0</v>
      </c>
      <c r="J54" s="17"/>
      <c r="K54" s="18">
        <f>IFERROR(SUMIFS(MOVIMIENTOS!$E:$E,MOVIMIENTOS!$C:$C,$A54,MOVIMIENTOS!$B:$B,"ENTRADA"),0)</f>
        <v>0</v>
      </c>
      <c r="L54" s="18">
        <f>IFERROR(SUMIFS(MOVIMIENTOS!$E:$E,MOVIMIENTOS!$C:$C,$A54,MOVIMIENTOS!$B:$B,"SALIDA")+SUMIFS(MOVIMIENTOS!$E:$E,MOVIMIENTOS!$C:$C,$A54,MOVIMIENTOS!$B:$B,"MERMA"),0)</f>
        <v>0</v>
      </c>
      <c r="M54" s="18">
        <f t="shared" si="1"/>
        <v>0</v>
      </c>
      <c r="N54" s="17"/>
      <c r="AO54" s="18" t="str">
        <f t="shared" si="4"/>
        <v>REPONER</v>
      </c>
      <c r="AP54" s="20">
        <f t="shared" si="5"/>
        <v>0</v>
      </c>
      <c r="AQ54" s="17"/>
      <c r="AR54" s="16"/>
    </row>
    <row r="55" spans="1:44">
      <c r="A55" s="17"/>
      <c r="B55" s="17"/>
      <c r="C55" s="17"/>
      <c r="D55" s="17"/>
      <c r="E55" s="17"/>
      <c r="F55" s="17"/>
      <c r="G55" s="17"/>
      <c r="H55" s="25"/>
      <c r="I55" s="19">
        <f t="shared" si="0"/>
        <v>0</v>
      </c>
      <c r="J55" s="17"/>
      <c r="K55" s="18">
        <f>IFERROR(SUMIFS(MOVIMIENTOS!$E:$E,MOVIMIENTOS!$C:$C,$A55,MOVIMIENTOS!$B:$B,"ENTRADA"),0)</f>
        <v>0</v>
      </c>
      <c r="L55" s="18">
        <f>IFERROR(SUMIFS(MOVIMIENTOS!$E:$E,MOVIMIENTOS!$C:$C,$A55,MOVIMIENTOS!$B:$B,"SALIDA")+SUMIFS(MOVIMIENTOS!$E:$E,MOVIMIENTOS!$C:$C,$A55,MOVIMIENTOS!$B:$B,"MERMA"),0)</f>
        <v>0</v>
      </c>
      <c r="M55" s="18">
        <f t="shared" si="1"/>
        <v>0</v>
      </c>
      <c r="N55" s="17"/>
      <c r="AO55" s="18" t="str">
        <f t="shared" si="4"/>
        <v>REPONER</v>
      </c>
      <c r="AP55" s="20">
        <f t="shared" si="5"/>
        <v>0</v>
      </c>
      <c r="AQ55" s="17"/>
      <c r="AR55" s="16"/>
    </row>
    <row r="56" spans="1:44">
      <c r="A56" s="17"/>
      <c r="B56" s="17"/>
      <c r="C56" s="17"/>
      <c r="D56" s="17"/>
      <c r="E56" s="17"/>
      <c r="F56" s="17"/>
      <c r="G56" s="17"/>
      <c r="H56" s="25"/>
      <c r="I56" s="19">
        <f t="shared" si="0"/>
        <v>0</v>
      </c>
      <c r="J56" s="17"/>
      <c r="K56" s="18">
        <f>IFERROR(SUMIFS(MOVIMIENTOS!$E:$E,MOVIMIENTOS!$C:$C,$A56,MOVIMIENTOS!$B:$B,"ENTRADA"),0)</f>
        <v>0</v>
      </c>
      <c r="L56" s="18">
        <f>IFERROR(SUMIFS(MOVIMIENTOS!$E:$E,MOVIMIENTOS!$C:$C,$A56,MOVIMIENTOS!$B:$B,"SALIDA")+SUMIFS(MOVIMIENTOS!$E:$E,MOVIMIENTOS!$C:$C,$A56,MOVIMIENTOS!$B:$B,"MERMA"),0)</f>
        <v>0</v>
      </c>
      <c r="M56" s="18">
        <f t="shared" si="1"/>
        <v>0</v>
      </c>
      <c r="N56" s="17"/>
      <c r="AO56" s="18" t="str">
        <f t="shared" si="4"/>
        <v>REPONER</v>
      </c>
      <c r="AP56" s="20">
        <f t="shared" si="5"/>
        <v>0</v>
      </c>
      <c r="AQ56" s="17"/>
      <c r="AR56" s="16"/>
    </row>
    <row r="57" spans="1:44">
      <c r="A57" s="17"/>
      <c r="B57" s="17"/>
      <c r="C57" s="17"/>
      <c r="D57" s="17"/>
      <c r="E57" s="17"/>
      <c r="F57" s="17"/>
      <c r="G57" s="17"/>
      <c r="H57" s="25"/>
      <c r="I57" s="19">
        <f t="shared" si="0"/>
        <v>0</v>
      </c>
      <c r="J57" s="17"/>
      <c r="K57" s="18">
        <f>IFERROR(SUMIFS(MOVIMIENTOS!$E:$E,MOVIMIENTOS!$C:$C,$A57,MOVIMIENTOS!$B:$B,"ENTRADA"),0)</f>
        <v>0</v>
      </c>
      <c r="L57" s="18">
        <f>IFERROR(SUMIFS(MOVIMIENTOS!$E:$E,MOVIMIENTOS!$C:$C,$A57,MOVIMIENTOS!$B:$B,"SALIDA")+SUMIFS(MOVIMIENTOS!$E:$E,MOVIMIENTOS!$C:$C,$A57,MOVIMIENTOS!$B:$B,"MERMA"),0)</f>
        <v>0</v>
      </c>
      <c r="M57" s="18">
        <f t="shared" si="1"/>
        <v>0</v>
      </c>
      <c r="N57" s="17"/>
      <c r="AO57" s="18" t="str">
        <f t="shared" si="4"/>
        <v>REPONER</v>
      </c>
      <c r="AP57" s="20">
        <f t="shared" si="5"/>
        <v>0</v>
      </c>
      <c r="AQ57" s="17"/>
      <c r="AR57" s="16"/>
    </row>
    <row r="58" spans="1:44">
      <c r="A58" s="17"/>
      <c r="B58" s="17"/>
      <c r="C58" s="17"/>
      <c r="D58" s="17"/>
      <c r="E58" s="17"/>
      <c r="F58" s="17"/>
      <c r="G58" s="17"/>
      <c r="H58" s="25"/>
      <c r="I58" s="19">
        <f t="shared" si="0"/>
        <v>0</v>
      </c>
      <c r="J58" s="17"/>
      <c r="K58" s="18">
        <f>IFERROR(SUMIFS(MOVIMIENTOS!$E:$E,MOVIMIENTOS!$C:$C,$A58,MOVIMIENTOS!$B:$B,"ENTRADA"),0)</f>
        <v>0</v>
      </c>
      <c r="L58" s="18">
        <f>IFERROR(SUMIFS(MOVIMIENTOS!$E:$E,MOVIMIENTOS!$C:$C,$A58,MOVIMIENTOS!$B:$B,"SALIDA")+SUMIFS(MOVIMIENTOS!$E:$E,MOVIMIENTOS!$C:$C,$A58,MOVIMIENTOS!$B:$B,"MERMA"),0)</f>
        <v>0</v>
      </c>
      <c r="M58" s="18">
        <f t="shared" si="1"/>
        <v>0</v>
      </c>
      <c r="N58" s="17"/>
      <c r="AO58" s="18" t="str">
        <f t="shared" si="4"/>
        <v>REPONER</v>
      </c>
      <c r="AP58" s="20">
        <f t="shared" si="5"/>
        <v>0</v>
      </c>
      <c r="AQ58" s="17"/>
      <c r="AR58" s="16"/>
    </row>
    <row r="59" spans="1:44">
      <c r="A59" s="17"/>
      <c r="B59" s="17"/>
      <c r="C59" s="17"/>
      <c r="D59" s="17"/>
      <c r="E59" s="17"/>
      <c r="F59" s="17"/>
      <c r="G59" s="17"/>
      <c r="H59" s="25"/>
      <c r="I59" s="19">
        <f t="shared" si="0"/>
        <v>0</v>
      </c>
      <c r="J59" s="17"/>
      <c r="K59" s="18">
        <f>IFERROR(SUMIFS(MOVIMIENTOS!$E:$E,MOVIMIENTOS!$C:$C,$A59,MOVIMIENTOS!$B:$B,"ENTRADA"),0)</f>
        <v>0</v>
      </c>
      <c r="L59" s="18">
        <f>IFERROR(SUMIFS(MOVIMIENTOS!$E:$E,MOVIMIENTOS!$C:$C,$A59,MOVIMIENTOS!$B:$B,"SALIDA")+SUMIFS(MOVIMIENTOS!$E:$E,MOVIMIENTOS!$C:$C,$A59,MOVIMIENTOS!$B:$B,"MERMA"),0)</f>
        <v>0</v>
      </c>
      <c r="M59" s="18">
        <f t="shared" si="1"/>
        <v>0</v>
      </c>
      <c r="N59" s="17"/>
      <c r="AO59" s="18" t="str">
        <f t="shared" si="4"/>
        <v>REPONER</v>
      </c>
      <c r="AP59" s="20">
        <f t="shared" si="5"/>
        <v>0</v>
      </c>
      <c r="AQ59" s="17"/>
      <c r="AR59" s="16"/>
    </row>
    <row r="60" spans="1:44">
      <c r="A60" s="17"/>
      <c r="B60" s="17"/>
      <c r="C60" s="17"/>
      <c r="D60" s="17"/>
      <c r="E60" s="17"/>
      <c r="F60" s="17"/>
      <c r="G60" s="17"/>
      <c r="H60" s="25"/>
      <c r="I60" s="19">
        <f t="shared" si="0"/>
        <v>0</v>
      </c>
      <c r="J60" s="17"/>
      <c r="K60" s="18">
        <f>IFERROR(SUMIFS(MOVIMIENTOS!$E:$E,MOVIMIENTOS!$C:$C,$A60,MOVIMIENTOS!$B:$B,"ENTRADA"),0)</f>
        <v>0</v>
      </c>
      <c r="L60" s="18">
        <f>IFERROR(SUMIFS(MOVIMIENTOS!$E:$E,MOVIMIENTOS!$C:$C,$A60,MOVIMIENTOS!$B:$B,"SALIDA")+SUMIFS(MOVIMIENTOS!$E:$E,MOVIMIENTOS!$C:$C,$A60,MOVIMIENTOS!$B:$B,"MERMA"),0)</f>
        <v>0</v>
      </c>
      <c r="M60" s="18">
        <f t="shared" si="1"/>
        <v>0</v>
      </c>
      <c r="N60" s="17"/>
      <c r="AO60" s="18" t="str">
        <f t="shared" si="4"/>
        <v>REPONER</v>
      </c>
      <c r="AP60" s="20">
        <f t="shared" si="5"/>
        <v>0</v>
      </c>
      <c r="AQ60" s="17"/>
      <c r="AR60" s="16"/>
    </row>
    <row r="61" spans="1:44">
      <c r="A61" s="17"/>
      <c r="B61" s="17"/>
      <c r="C61" s="17"/>
      <c r="D61" s="17"/>
      <c r="E61" s="17"/>
      <c r="F61" s="17"/>
      <c r="G61" s="17"/>
      <c r="H61" s="25"/>
      <c r="I61" s="19">
        <f t="shared" si="0"/>
        <v>0</v>
      </c>
      <c r="J61" s="17"/>
      <c r="K61" s="18">
        <f>IFERROR(SUMIFS(MOVIMIENTOS!$E:$E,MOVIMIENTOS!$C:$C,$A61,MOVIMIENTOS!$B:$B,"ENTRADA"),0)</f>
        <v>0</v>
      </c>
      <c r="L61" s="18">
        <f>IFERROR(SUMIFS(MOVIMIENTOS!$E:$E,MOVIMIENTOS!$C:$C,$A61,MOVIMIENTOS!$B:$B,"SALIDA")+SUMIFS(MOVIMIENTOS!$E:$E,MOVIMIENTOS!$C:$C,$A61,MOVIMIENTOS!$B:$B,"MERMA"),0)</f>
        <v>0</v>
      </c>
      <c r="M61" s="18">
        <f t="shared" si="1"/>
        <v>0</v>
      </c>
      <c r="N61" s="17"/>
      <c r="AO61" s="18" t="str">
        <f t="shared" si="4"/>
        <v>REPONER</v>
      </c>
      <c r="AP61" s="20">
        <f t="shared" si="5"/>
        <v>0</v>
      </c>
      <c r="AQ61" s="17"/>
      <c r="AR61" s="16"/>
    </row>
    <row r="62" spans="1:44">
      <c r="A62" s="17"/>
      <c r="B62" s="17"/>
      <c r="C62" s="17"/>
      <c r="D62" s="17"/>
      <c r="E62" s="17"/>
      <c r="F62" s="17"/>
      <c r="G62" s="17"/>
      <c r="H62" s="25"/>
      <c r="I62" s="19">
        <f t="shared" si="0"/>
        <v>0</v>
      </c>
      <c r="J62" s="17"/>
      <c r="K62" s="18">
        <f>IFERROR(SUMIFS(MOVIMIENTOS!$E:$E,MOVIMIENTOS!$C:$C,$A62,MOVIMIENTOS!$B:$B,"ENTRADA"),0)</f>
        <v>0</v>
      </c>
      <c r="L62" s="18">
        <f>IFERROR(SUMIFS(MOVIMIENTOS!$E:$E,MOVIMIENTOS!$C:$C,$A62,MOVIMIENTOS!$B:$B,"SALIDA")+SUMIFS(MOVIMIENTOS!$E:$E,MOVIMIENTOS!$C:$C,$A62,MOVIMIENTOS!$B:$B,"MERMA"),0)</f>
        <v>0</v>
      </c>
      <c r="M62" s="18">
        <f t="shared" si="1"/>
        <v>0</v>
      </c>
      <c r="N62" s="17"/>
      <c r="AO62" s="18" t="str">
        <f t="shared" si="4"/>
        <v>REPONER</v>
      </c>
      <c r="AP62" s="20">
        <f t="shared" si="5"/>
        <v>0</v>
      </c>
      <c r="AQ62" s="17"/>
      <c r="AR62" s="16"/>
    </row>
    <row r="63" spans="1:44">
      <c r="A63" s="17"/>
      <c r="B63" s="17"/>
      <c r="C63" s="17"/>
      <c r="D63" s="17"/>
      <c r="E63" s="17"/>
      <c r="F63" s="17"/>
      <c r="G63" s="17"/>
      <c r="H63" s="25"/>
      <c r="I63" s="19">
        <f t="shared" si="0"/>
        <v>0</v>
      </c>
      <c r="J63" s="17"/>
      <c r="K63" s="18">
        <f>IFERROR(SUMIFS(MOVIMIENTOS!$E:$E,MOVIMIENTOS!$C:$C,$A63,MOVIMIENTOS!$B:$B,"ENTRADA"),0)</f>
        <v>0</v>
      </c>
      <c r="L63" s="18">
        <f>IFERROR(SUMIFS(MOVIMIENTOS!$E:$E,MOVIMIENTOS!$C:$C,$A63,MOVIMIENTOS!$B:$B,"SALIDA")+SUMIFS(MOVIMIENTOS!$E:$E,MOVIMIENTOS!$C:$C,$A63,MOVIMIENTOS!$B:$B,"MERMA"),0)</f>
        <v>0</v>
      </c>
      <c r="M63" s="18">
        <f t="shared" si="1"/>
        <v>0</v>
      </c>
      <c r="N63" s="17"/>
      <c r="AO63" s="18" t="str">
        <f t="shared" si="4"/>
        <v>REPONER</v>
      </c>
      <c r="AP63" s="20">
        <f t="shared" si="5"/>
        <v>0</v>
      </c>
      <c r="AQ63" s="17"/>
      <c r="AR63" s="16"/>
    </row>
    <row r="64" spans="1:44">
      <c r="A64" s="17"/>
      <c r="B64" s="17"/>
      <c r="C64" s="17"/>
      <c r="D64" s="17"/>
      <c r="E64" s="17"/>
      <c r="F64" s="17"/>
      <c r="G64" s="17"/>
      <c r="H64" s="25"/>
      <c r="I64" s="19">
        <f t="shared" si="0"/>
        <v>0</v>
      </c>
      <c r="J64" s="17"/>
      <c r="K64" s="18">
        <f>IFERROR(SUMIFS(MOVIMIENTOS!$E:$E,MOVIMIENTOS!$C:$C,$A64,MOVIMIENTOS!$B:$B,"ENTRADA"),0)</f>
        <v>0</v>
      </c>
      <c r="L64" s="18">
        <f>IFERROR(SUMIFS(MOVIMIENTOS!$E:$E,MOVIMIENTOS!$C:$C,$A64,MOVIMIENTOS!$B:$B,"SALIDA")+SUMIFS(MOVIMIENTOS!$E:$E,MOVIMIENTOS!$C:$C,$A64,MOVIMIENTOS!$B:$B,"MERMA"),0)</f>
        <v>0</v>
      </c>
      <c r="M64" s="18">
        <f t="shared" si="1"/>
        <v>0</v>
      </c>
      <c r="N64" s="17"/>
      <c r="AO64" s="18" t="str">
        <f t="shared" si="4"/>
        <v>REPONER</v>
      </c>
      <c r="AP64" s="20">
        <f t="shared" si="5"/>
        <v>0</v>
      </c>
      <c r="AQ64" s="17"/>
      <c r="AR64" s="16"/>
    </row>
    <row r="65" spans="1:44">
      <c r="A65" s="17"/>
      <c r="B65" s="17"/>
      <c r="C65" s="17"/>
      <c r="D65" s="17"/>
      <c r="E65" s="17"/>
      <c r="F65" s="17"/>
      <c r="G65" s="17"/>
      <c r="H65" s="25"/>
      <c r="I65" s="19">
        <f t="shared" si="0"/>
        <v>0</v>
      </c>
      <c r="J65" s="17"/>
      <c r="K65" s="18">
        <f>IFERROR(SUMIFS(MOVIMIENTOS!$E:$E,MOVIMIENTOS!$C:$C,$A65,MOVIMIENTOS!$B:$B,"ENTRADA"),0)</f>
        <v>0</v>
      </c>
      <c r="L65" s="18">
        <f>IFERROR(SUMIFS(MOVIMIENTOS!$E:$E,MOVIMIENTOS!$C:$C,$A65,MOVIMIENTOS!$B:$B,"SALIDA")+SUMIFS(MOVIMIENTOS!$E:$E,MOVIMIENTOS!$C:$C,$A65,MOVIMIENTOS!$B:$B,"MERMA"),0)</f>
        <v>0</v>
      </c>
      <c r="M65" s="18">
        <f t="shared" si="1"/>
        <v>0</v>
      </c>
      <c r="N65" s="17"/>
      <c r="AO65" s="18" t="str">
        <f t="shared" si="4"/>
        <v>REPONER</v>
      </c>
      <c r="AP65" s="20">
        <f t="shared" si="5"/>
        <v>0</v>
      </c>
      <c r="AQ65" s="17"/>
      <c r="AR65" s="16"/>
    </row>
    <row r="66" spans="1:44">
      <c r="A66" s="17"/>
      <c r="B66" s="17"/>
      <c r="C66" s="17"/>
      <c r="D66" s="17"/>
      <c r="E66" s="17"/>
      <c r="F66" s="17"/>
      <c r="G66" s="17"/>
      <c r="H66" s="25"/>
      <c r="I66" s="19">
        <f t="shared" si="0"/>
        <v>0</v>
      </c>
      <c r="J66" s="17"/>
      <c r="K66" s="18">
        <f>IFERROR(SUMIFS(MOVIMIENTOS!$E:$E,MOVIMIENTOS!$C:$C,$A66,MOVIMIENTOS!$B:$B,"ENTRADA"),0)</f>
        <v>0</v>
      </c>
      <c r="L66" s="18">
        <f>IFERROR(SUMIFS(MOVIMIENTOS!$E:$E,MOVIMIENTOS!$C:$C,$A66,MOVIMIENTOS!$B:$B,"SALIDA")+SUMIFS(MOVIMIENTOS!$E:$E,MOVIMIENTOS!$C:$C,$A66,MOVIMIENTOS!$B:$B,"MERMA"),0)</f>
        <v>0</v>
      </c>
      <c r="M66" s="18">
        <f t="shared" si="1"/>
        <v>0</v>
      </c>
      <c r="N66" s="17"/>
      <c r="AO66" s="18" t="str">
        <f t="shared" si="4"/>
        <v>REPONER</v>
      </c>
      <c r="AP66" s="20">
        <f t="shared" si="5"/>
        <v>0</v>
      </c>
      <c r="AQ66" s="17"/>
      <c r="AR66" s="16"/>
    </row>
    <row r="67" spans="1:44">
      <c r="A67" s="17"/>
      <c r="B67" s="17"/>
      <c r="C67" s="17"/>
      <c r="D67" s="17"/>
      <c r="E67" s="17"/>
      <c r="F67" s="17"/>
      <c r="G67" s="17"/>
      <c r="H67" s="25"/>
      <c r="I67" s="19">
        <f t="shared" si="0"/>
        <v>0</v>
      </c>
      <c r="J67" s="17"/>
      <c r="K67" s="18">
        <f>IFERROR(SUMIFS(MOVIMIENTOS!$E:$E,MOVIMIENTOS!$C:$C,$A67,MOVIMIENTOS!$B:$B,"ENTRADA"),0)</f>
        <v>0</v>
      </c>
      <c r="L67" s="18">
        <f>IFERROR(SUMIFS(MOVIMIENTOS!$E:$E,MOVIMIENTOS!$C:$C,$A67,MOVIMIENTOS!$B:$B,"SALIDA")+SUMIFS(MOVIMIENTOS!$E:$E,MOVIMIENTOS!$C:$C,$A67,MOVIMIENTOS!$B:$B,"MERMA"),0)</f>
        <v>0</v>
      </c>
      <c r="M67" s="18">
        <f t="shared" si="1"/>
        <v>0</v>
      </c>
      <c r="N67" s="17"/>
      <c r="AO67" s="18" t="str">
        <f t="shared" si="4"/>
        <v>REPONER</v>
      </c>
      <c r="AP67" s="20">
        <f t="shared" si="5"/>
        <v>0</v>
      </c>
      <c r="AQ67" s="17"/>
      <c r="AR67" s="16"/>
    </row>
    <row r="68" spans="1:44">
      <c r="A68" s="17"/>
      <c r="B68" s="17"/>
      <c r="C68" s="17"/>
      <c r="D68" s="17"/>
      <c r="E68" s="17"/>
      <c r="F68" s="17"/>
      <c r="G68" s="17"/>
      <c r="H68" s="25"/>
      <c r="I68" s="19">
        <f t="shared" si="0"/>
        <v>0</v>
      </c>
      <c r="J68" s="17"/>
      <c r="K68" s="18">
        <f>IFERROR(SUMIFS(MOVIMIENTOS!$E:$E,MOVIMIENTOS!$C:$C,$A68,MOVIMIENTOS!$B:$B,"ENTRADA"),0)</f>
        <v>0</v>
      </c>
      <c r="L68" s="18">
        <f>IFERROR(SUMIFS(MOVIMIENTOS!$E:$E,MOVIMIENTOS!$C:$C,$A68,MOVIMIENTOS!$B:$B,"SALIDA")+SUMIFS(MOVIMIENTOS!$E:$E,MOVIMIENTOS!$C:$C,$A68,MOVIMIENTOS!$B:$B,"MERMA"),0)</f>
        <v>0</v>
      </c>
      <c r="M68" s="18">
        <f t="shared" si="1"/>
        <v>0</v>
      </c>
      <c r="N68" s="17"/>
      <c r="AO68" s="18" t="str">
        <f t="shared" si="4"/>
        <v>REPONER</v>
      </c>
      <c r="AP68" s="20">
        <f t="shared" si="5"/>
        <v>0</v>
      </c>
      <c r="AQ68" s="17"/>
      <c r="AR68" s="16"/>
    </row>
    <row r="69" spans="1:44">
      <c r="A69" s="17"/>
      <c r="B69" s="17"/>
      <c r="C69" s="17"/>
      <c r="D69" s="17"/>
      <c r="E69" s="17"/>
      <c r="F69" s="17"/>
      <c r="G69" s="17"/>
      <c r="H69" s="25"/>
      <c r="I69" s="19">
        <f t="shared" ref="I69:I132" si="6">IFERROR(H69/(G69*E69),0)</f>
        <v>0</v>
      </c>
      <c r="J69" s="17"/>
      <c r="K69" s="18">
        <f>IFERROR(SUMIFS(MOVIMIENTOS!$E:$E,MOVIMIENTOS!$C:$C,$A69,MOVIMIENTOS!$B:$B,"ENTRADA"),0)</f>
        <v>0</v>
      </c>
      <c r="L69" s="18">
        <f>IFERROR(SUMIFS(MOVIMIENTOS!$E:$E,MOVIMIENTOS!$C:$C,$A69,MOVIMIENTOS!$B:$B,"SALIDA")+SUMIFS(MOVIMIENTOS!$E:$E,MOVIMIENTOS!$C:$C,$A69,MOVIMIENTOS!$B:$B,"MERMA"),0)</f>
        <v>0</v>
      </c>
      <c r="M69" s="18">
        <f t="shared" ref="M69:M132" si="7">IFERROR(J69+K69-L69,0)</f>
        <v>0</v>
      </c>
      <c r="N69" s="17"/>
      <c r="AO69" s="18" t="str">
        <f t="shared" ref="AO69:AO132" si="8">IF(M69&lt;=N69,"REPONER","OK")</f>
        <v>REPONER</v>
      </c>
      <c r="AP69" s="20">
        <f t="shared" ref="AP69:AP132" si="9">IFERROR(M69*I69,0)</f>
        <v>0</v>
      </c>
      <c r="AQ69" s="17"/>
      <c r="AR69" s="16"/>
    </row>
    <row r="70" spans="1:44">
      <c r="A70" s="17"/>
      <c r="B70" s="17"/>
      <c r="C70" s="17"/>
      <c r="D70" s="17"/>
      <c r="E70" s="17"/>
      <c r="F70" s="17"/>
      <c r="G70" s="17"/>
      <c r="H70" s="25"/>
      <c r="I70" s="19">
        <f t="shared" si="6"/>
        <v>0</v>
      </c>
      <c r="J70" s="17"/>
      <c r="K70" s="18">
        <f>IFERROR(SUMIFS(MOVIMIENTOS!$E:$E,MOVIMIENTOS!$C:$C,$A70,MOVIMIENTOS!$B:$B,"ENTRADA"),0)</f>
        <v>0</v>
      </c>
      <c r="L70" s="18">
        <f>IFERROR(SUMIFS(MOVIMIENTOS!$E:$E,MOVIMIENTOS!$C:$C,$A70,MOVIMIENTOS!$B:$B,"SALIDA")+SUMIFS(MOVIMIENTOS!$E:$E,MOVIMIENTOS!$C:$C,$A70,MOVIMIENTOS!$B:$B,"MERMA"),0)</f>
        <v>0</v>
      </c>
      <c r="M70" s="18">
        <f t="shared" si="7"/>
        <v>0</v>
      </c>
      <c r="N70" s="17"/>
      <c r="AO70" s="18" t="str">
        <f t="shared" si="8"/>
        <v>REPONER</v>
      </c>
      <c r="AP70" s="20">
        <f t="shared" si="9"/>
        <v>0</v>
      </c>
      <c r="AQ70" s="17"/>
      <c r="AR70" s="16"/>
    </row>
    <row r="71" spans="1:44">
      <c r="A71" s="17"/>
      <c r="B71" s="17"/>
      <c r="C71" s="17"/>
      <c r="D71" s="17"/>
      <c r="E71" s="17"/>
      <c r="F71" s="17"/>
      <c r="G71" s="17"/>
      <c r="H71" s="25"/>
      <c r="I71" s="19">
        <f t="shared" si="6"/>
        <v>0</v>
      </c>
      <c r="J71" s="17"/>
      <c r="K71" s="18">
        <f>IFERROR(SUMIFS(MOVIMIENTOS!$E:$E,MOVIMIENTOS!$C:$C,$A71,MOVIMIENTOS!$B:$B,"ENTRADA"),0)</f>
        <v>0</v>
      </c>
      <c r="L71" s="18">
        <f>IFERROR(SUMIFS(MOVIMIENTOS!$E:$E,MOVIMIENTOS!$C:$C,$A71,MOVIMIENTOS!$B:$B,"SALIDA")+SUMIFS(MOVIMIENTOS!$E:$E,MOVIMIENTOS!$C:$C,$A71,MOVIMIENTOS!$B:$B,"MERMA"),0)</f>
        <v>0</v>
      </c>
      <c r="M71" s="18">
        <f t="shared" si="7"/>
        <v>0</v>
      </c>
      <c r="N71" s="17"/>
      <c r="AO71" s="18" t="str">
        <f t="shared" si="8"/>
        <v>REPONER</v>
      </c>
      <c r="AP71" s="20">
        <f t="shared" si="9"/>
        <v>0</v>
      </c>
      <c r="AQ71" s="17"/>
      <c r="AR71" s="16"/>
    </row>
    <row r="72" spans="1:44">
      <c r="A72" s="17"/>
      <c r="B72" s="17"/>
      <c r="C72" s="17"/>
      <c r="D72" s="17"/>
      <c r="E72" s="17"/>
      <c r="F72" s="17"/>
      <c r="G72" s="17"/>
      <c r="H72" s="25"/>
      <c r="I72" s="19">
        <f t="shared" si="6"/>
        <v>0</v>
      </c>
      <c r="J72" s="17"/>
      <c r="K72" s="18">
        <f>IFERROR(SUMIFS(MOVIMIENTOS!$E:$E,MOVIMIENTOS!$C:$C,$A72,MOVIMIENTOS!$B:$B,"ENTRADA"),0)</f>
        <v>0</v>
      </c>
      <c r="L72" s="18">
        <f>IFERROR(SUMIFS(MOVIMIENTOS!$E:$E,MOVIMIENTOS!$C:$C,$A72,MOVIMIENTOS!$B:$B,"SALIDA")+SUMIFS(MOVIMIENTOS!$E:$E,MOVIMIENTOS!$C:$C,$A72,MOVIMIENTOS!$B:$B,"MERMA"),0)</f>
        <v>0</v>
      </c>
      <c r="M72" s="18">
        <f t="shared" si="7"/>
        <v>0</v>
      </c>
      <c r="N72" s="17"/>
      <c r="AO72" s="18" t="str">
        <f t="shared" si="8"/>
        <v>REPONER</v>
      </c>
      <c r="AP72" s="20">
        <f t="shared" si="9"/>
        <v>0</v>
      </c>
      <c r="AQ72" s="17"/>
      <c r="AR72" s="16"/>
    </row>
    <row r="73" spans="1:44">
      <c r="A73" s="17"/>
      <c r="B73" s="17"/>
      <c r="C73" s="17"/>
      <c r="D73" s="17"/>
      <c r="E73" s="17"/>
      <c r="F73" s="17"/>
      <c r="G73" s="17"/>
      <c r="H73" s="25"/>
      <c r="I73" s="19">
        <f t="shared" si="6"/>
        <v>0</v>
      </c>
      <c r="J73" s="17"/>
      <c r="K73" s="18">
        <f>IFERROR(SUMIFS(MOVIMIENTOS!$E:$E,MOVIMIENTOS!$C:$C,$A73,MOVIMIENTOS!$B:$B,"ENTRADA"),0)</f>
        <v>0</v>
      </c>
      <c r="L73" s="18">
        <f>IFERROR(SUMIFS(MOVIMIENTOS!$E:$E,MOVIMIENTOS!$C:$C,$A73,MOVIMIENTOS!$B:$B,"SALIDA")+SUMIFS(MOVIMIENTOS!$E:$E,MOVIMIENTOS!$C:$C,$A73,MOVIMIENTOS!$B:$B,"MERMA"),0)</f>
        <v>0</v>
      </c>
      <c r="M73" s="18">
        <f t="shared" si="7"/>
        <v>0</v>
      </c>
      <c r="N73" s="17"/>
      <c r="AO73" s="18" t="str">
        <f t="shared" si="8"/>
        <v>REPONER</v>
      </c>
      <c r="AP73" s="20">
        <f t="shared" si="9"/>
        <v>0</v>
      </c>
      <c r="AQ73" s="17"/>
      <c r="AR73" s="16"/>
    </row>
    <row r="74" spans="1:44">
      <c r="A74" s="17"/>
      <c r="B74" s="17"/>
      <c r="C74" s="17"/>
      <c r="D74" s="17"/>
      <c r="E74" s="17"/>
      <c r="F74" s="17"/>
      <c r="G74" s="17"/>
      <c r="H74" s="25"/>
      <c r="I74" s="19">
        <f t="shared" si="6"/>
        <v>0</v>
      </c>
      <c r="J74" s="17"/>
      <c r="K74" s="18">
        <f>IFERROR(SUMIFS(MOVIMIENTOS!$E:$E,MOVIMIENTOS!$C:$C,$A74,MOVIMIENTOS!$B:$B,"ENTRADA"),0)</f>
        <v>0</v>
      </c>
      <c r="L74" s="18">
        <f>IFERROR(SUMIFS(MOVIMIENTOS!$E:$E,MOVIMIENTOS!$C:$C,$A74,MOVIMIENTOS!$B:$B,"SALIDA")+SUMIFS(MOVIMIENTOS!$E:$E,MOVIMIENTOS!$C:$C,$A74,MOVIMIENTOS!$B:$B,"MERMA"),0)</f>
        <v>0</v>
      </c>
      <c r="M74" s="18">
        <f t="shared" si="7"/>
        <v>0</v>
      </c>
      <c r="N74" s="17"/>
      <c r="AO74" s="18" t="str">
        <f t="shared" si="8"/>
        <v>REPONER</v>
      </c>
      <c r="AP74" s="20">
        <f t="shared" si="9"/>
        <v>0</v>
      </c>
      <c r="AQ74" s="17"/>
      <c r="AR74" s="16"/>
    </row>
    <row r="75" spans="1:44">
      <c r="A75" s="17"/>
      <c r="B75" s="17"/>
      <c r="C75" s="17"/>
      <c r="D75" s="17"/>
      <c r="E75" s="17"/>
      <c r="F75" s="17"/>
      <c r="G75" s="17"/>
      <c r="H75" s="25"/>
      <c r="I75" s="19">
        <f t="shared" si="6"/>
        <v>0</v>
      </c>
      <c r="J75" s="17"/>
      <c r="K75" s="18">
        <f>IFERROR(SUMIFS(MOVIMIENTOS!$E:$E,MOVIMIENTOS!$C:$C,$A75,MOVIMIENTOS!$B:$B,"ENTRADA"),0)</f>
        <v>0</v>
      </c>
      <c r="L75" s="18">
        <f>IFERROR(SUMIFS(MOVIMIENTOS!$E:$E,MOVIMIENTOS!$C:$C,$A75,MOVIMIENTOS!$B:$B,"SALIDA")+SUMIFS(MOVIMIENTOS!$E:$E,MOVIMIENTOS!$C:$C,$A75,MOVIMIENTOS!$B:$B,"MERMA"),0)</f>
        <v>0</v>
      </c>
      <c r="M75" s="18">
        <f t="shared" si="7"/>
        <v>0</v>
      </c>
      <c r="N75" s="17"/>
      <c r="AO75" s="18" t="str">
        <f t="shared" si="8"/>
        <v>REPONER</v>
      </c>
      <c r="AP75" s="20">
        <f t="shared" si="9"/>
        <v>0</v>
      </c>
      <c r="AQ75" s="17"/>
      <c r="AR75" s="16"/>
    </row>
    <row r="76" spans="1:44">
      <c r="A76" s="17"/>
      <c r="B76" s="17"/>
      <c r="C76" s="17"/>
      <c r="D76" s="17"/>
      <c r="E76" s="17"/>
      <c r="F76" s="17"/>
      <c r="G76" s="17"/>
      <c r="H76" s="25"/>
      <c r="I76" s="19">
        <f t="shared" si="6"/>
        <v>0</v>
      </c>
      <c r="J76" s="17"/>
      <c r="K76" s="18">
        <f>IFERROR(SUMIFS(MOVIMIENTOS!$E:$E,MOVIMIENTOS!$C:$C,$A76,MOVIMIENTOS!$B:$B,"ENTRADA"),0)</f>
        <v>0</v>
      </c>
      <c r="L76" s="18">
        <f>IFERROR(SUMIFS(MOVIMIENTOS!$E:$E,MOVIMIENTOS!$C:$C,$A76,MOVIMIENTOS!$B:$B,"SALIDA")+SUMIFS(MOVIMIENTOS!$E:$E,MOVIMIENTOS!$C:$C,$A76,MOVIMIENTOS!$B:$B,"MERMA"),0)</f>
        <v>0</v>
      </c>
      <c r="M76" s="18">
        <f t="shared" si="7"/>
        <v>0</v>
      </c>
      <c r="N76" s="17"/>
      <c r="AO76" s="18" t="str">
        <f t="shared" si="8"/>
        <v>REPONER</v>
      </c>
      <c r="AP76" s="20">
        <f t="shared" si="9"/>
        <v>0</v>
      </c>
      <c r="AQ76" s="17"/>
      <c r="AR76" s="16"/>
    </row>
    <row r="77" spans="1:44">
      <c r="A77" s="17"/>
      <c r="B77" s="17"/>
      <c r="C77" s="17"/>
      <c r="D77" s="17"/>
      <c r="E77" s="17"/>
      <c r="F77" s="17"/>
      <c r="G77" s="17"/>
      <c r="H77" s="25"/>
      <c r="I77" s="19">
        <f t="shared" si="6"/>
        <v>0</v>
      </c>
      <c r="J77" s="17"/>
      <c r="K77" s="18">
        <f>IFERROR(SUMIFS(MOVIMIENTOS!$E:$E,MOVIMIENTOS!$C:$C,$A77,MOVIMIENTOS!$B:$B,"ENTRADA"),0)</f>
        <v>0</v>
      </c>
      <c r="L77" s="18">
        <f>IFERROR(SUMIFS(MOVIMIENTOS!$E:$E,MOVIMIENTOS!$C:$C,$A77,MOVIMIENTOS!$B:$B,"SALIDA")+SUMIFS(MOVIMIENTOS!$E:$E,MOVIMIENTOS!$C:$C,$A77,MOVIMIENTOS!$B:$B,"MERMA"),0)</f>
        <v>0</v>
      </c>
      <c r="M77" s="18">
        <f t="shared" si="7"/>
        <v>0</v>
      </c>
      <c r="N77" s="17"/>
      <c r="AO77" s="18" t="str">
        <f t="shared" si="8"/>
        <v>REPONER</v>
      </c>
      <c r="AP77" s="20">
        <f t="shared" si="9"/>
        <v>0</v>
      </c>
      <c r="AQ77" s="17"/>
      <c r="AR77" s="16"/>
    </row>
    <row r="78" spans="1:44">
      <c r="A78" s="17"/>
      <c r="B78" s="17"/>
      <c r="C78" s="17"/>
      <c r="D78" s="17"/>
      <c r="E78" s="17"/>
      <c r="F78" s="17"/>
      <c r="G78" s="17"/>
      <c r="H78" s="25"/>
      <c r="I78" s="19">
        <f t="shared" si="6"/>
        <v>0</v>
      </c>
      <c r="J78" s="17"/>
      <c r="K78" s="18">
        <f>IFERROR(SUMIFS(MOVIMIENTOS!$E:$E,MOVIMIENTOS!$C:$C,$A78,MOVIMIENTOS!$B:$B,"ENTRADA"),0)</f>
        <v>0</v>
      </c>
      <c r="L78" s="18">
        <f>IFERROR(SUMIFS(MOVIMIENTOS!$E:$E,MOVIMIENTOS!$C:$C,$A78,MOVIMIENTOS!$B:$B,"SALIDA")+SUMIFS(MOVIMIENTOS!$E:$E,MOVIMIENTOS!$C:$C,$A78,MOVIMIENTOS!$B:$B,"MERMA"),0)</f>
        <v>0</v>
      </c>
      <c r="M78" s="18">
        <f t="shared" si="7"/>
        <v>0</v>
      </c>
      <c r="N78" s="17"/>
      <c r="AO78" s="18" t="str">
        <f t="shared" si="8"/>
        <v>REPONER</v>
      </c>
      <c r="AP78" s="20">
        <f t="shared" si="9"/>
        <v>0</v>
      </c>
      <c r="AQ78" s="17"/>
      <c r="AR78" s="16"/>
    </row>
    <row r="79" spans="1:44">
      <c r="A79" s="17"/>
      <c r="B79" s="17"/>
      <c r="C79" s="17"/>
      <c r="D79" s="17"/>
      <c r="E79" s="17"/>
      <c r="F79" s="17"/>
      <c r="G79" s="17"/>
      <c r="H79" s="25"/>
      <c r="I79" s="19">
        <f t="shared" si="6"/>
        <v>0</v>
      </c>
      <c r="J79" s="17"/>
      <c r="K79" s="18">
        <f>IFERROR(SUMIFS(MOVIMIENTOS!$E:$E,MOVIMIENTOS!$C:$C,$A79,MOVIMIENTOS!$B:$B,"ENTRADA"),0)</f>
        <v>0</v>
      </c>
      <c r="L79" s="18">
        <f>IFERROR(SUMIFS(MOVIMIENTOS!$E:$E,MOVIMIENTOS!$C:$C,$A79,MOVIMIENTOS!$B:$B,"SALIDA")+SUMIFS(MOVIMIENTOS!$E:$E,MOVIMIENTOS!$C:$C,$A79,MOVIMIENTOS!$B:$B,"MERMA"),0)</f>
        <v>0</v>
      </c>
      <c r="M79" s="18">
        <f t="shared" si="7"/>
        <v>0</v>
      </c>
      <c r="N79" s="17"/>
      <c r="AO79" s="18" t="str">
        <f t="shared" si="8"/>
        <v>REPONER</v>
      </c>
      <c r="AP79" s="20">
        <f t="shared" si="9"/>
        <v>0</v>
      </c>
      <c r="AQ79" s="17"/>
      <c r="AR79" s="16"/>
    </row>
    <row r="80" spans="1:44">
      <c r="A80" s="17"/>
      <c r="B80" s="17"/>
      <c r="C80" s="17"/>
      <c r="D80" s="17"/>
      <c r="E80" s="17"/>
      <c r="F80" s="17"/>
      <c r="G80" s="17"/>
      <c r="H80" s="25"/>
      <c r="I80" s="19">
        <f t="shared" si="6"/>
        <v>0</v>
      </c>
      <c r="J80" s="17"/>
      <c r="K80" s="18">
        <f>IFERROR(SUMIFS(MOVIMIENTOS!$E:$E,MOVIMIENTOS!$C:$C,$A80,MOVIMIENTOS!$B:$B,"ENTRADA"),0)</f>
        <v>0</v>
      </c>
      <c r="L80" s="18">
        <f>IFERROR(SUMIFS(MOVIMIENTOS!$E:$E,MOVIMIENTOS!$C:$C,$A80,MOVIMIENTOS!$B:$B,"SALIDA")+SUMIFS(MOVIMIENTOS!$E:$E,MOVIMIENTOS!$C:$C,$A80,MOVIMIENTOS!$B:$B,"MERMA"),0)</f>
        <v>0</v>
      </c>
      <c r="M80" s="18">
        <f t="shared" si="7"/>
        <v>0</v>
      </c>
      <c r="N80" s="17"/>
      <c r="AO80" s="18" t="str">
        <f t="shared" si="8"/>
        <v>REPONER</v>
      </c>
      <c r="AP80" s="20">
        <f t="shared" si="9"/>
        <v>0</v>
      </c>
      <c r="AQ80" s="17"/>
      <c r="AR80" s="16"/>
    </row>
    <row r="81" spans="1:44">
      <c r="A81" s="17"/>
      <c r="B81" s="17"/>
      <c r="C81" s="17"/>
      <c r="D81" s="17"/>
      <c r="E81" s="17"/>
      <c r="F81" s="17"/>
      <c r="G81" s="17"/>
      <c r="H81" s="25"/>
      <c r="I81" s="19">
        <f t="shared" si="6"/>
        <v>0</v>
      </c>
      <c r="J81" s="17"/>
      <c r="K81" s="18">
        <f>IFERROR(SUMIFS(MOVIMIENTOS!$E:$E,MOVIMIENTOS!$C:$C,$A81,MOVIMIENTOS!$B:$B,"ENTRADA"),0)</f>
        <v>0</v>
      </c>
      <c r="L81" s="18">
        <f>IFERROR(SUMIFS(MOVIMIENTOS!$E:$E,MOVIMIENTOS!$C:$C,$A81,MOVIMIENTOS!$B:$B,"SALIDA")+SUMIFS(MOVIMIENTOS!$E:$E,MOVIMIENTOS!$C:$C,$A81,MOVIMIENTOS!$B:$B,"MERMA"),0)</f>
        <v>0</v>
      </c>
      <c r="M81" s="18">
        <f t="shared" si="7"/>
        <v>0</v>
      </c>
      <c r="N81" s="17"/>
      <c r="AO81" s="18" t="str">
        <f t="shared" si="8"/>
        <v>REPONER</v>
      </c>
      <c r="AP81" s="20">
        <f t="shared" si="9"/>
        <v>0</v>
      </c>
      <c r="AQ81" s="17"/>
      <c r="AR81" s="16"/>
    </row>
    <row r="82" spans="1:44">
      <c r="A82" s="17"/>
      <c r="B82" s="17"/>
      <c r="C82" s="17"/>
      <c r="D82" s="17"/>
      <c r="E82" s="17"/>
      <c r="F82" s="17"/>
      <c r="G82" s="17"/>
      <c r="H82" s="25"/>
      <c r="I82" s="19">
        <f t="shared" si="6"/>
        <v>0</v>
      </c>
      <c r="J82" s="17"/>
      <c r="K82" s="18">
        <f>IFERROR(SUMIFS(MOVIMIENTOS!$E:$E,MOVIMIENTOS!$C:$C,$A82,MOVIMIENTOS!$B:$B,"ENTRADA"),0)</f>
        <v>0</v>
      </c>
      <c r="L82" s="18">
        <f>IFERROR(SUMIFS(MOVIMIENTOS!$E:$E,MOVIMIENTOS!$C:$C,$A82,MOVIMIENTOS!$B:$B,"SALIDA")+SUMIFS(MOVIMIENTOS!$E:$E,MOVIMIENTOS!$C:$C,$A82,MOVIMIENTOS!$B:$B,"MERMA"),0)</f>
        <v>0</v>
      </c>
      <c r="M82" s="18">
        <f t="shared" si="7"/>
        <v>0</v>
      </c>
      <c r="N82" s="17"/>
      <c r="AO82" s="18" t="str">
        <f t="shared" si="8"/>
        <v>REPONER</v>
      </c>
      <c r="AP82" s="20">
        <f t="shared" si="9"/>
        <v>0</v>
      </c>
      <c r="AQ82" s="17"/>
      <c r="AR82" s="16"/>
    </row>
    <row r="83" spans="1:44">
      <c r="A83" s="17"/>
      <c r="B83" s="17"/>
      <c r="C83" s="17"/>
      <c r="D83" s="17"/>
      <c r="E83" s="17"/>
      <c r="F83" s="17"/>
      <c r="G83" s="17"/>
      <c r="H83" s="25"/>
      <c r="I83" s="19">
        <f t="shared" si="6"/>
        <v>0</v>
      </c>
      <c r="J83" s="17"/>
      <c r="K83" s="18">
        <f>IFERROR(SUMIFS(MOVIMIENTOS!$E:$E,MOVIMIENTOS!$C:$C,$A83,MOVIMIENTOS!$B:$B,"ENTRADA"),0)</f>
        <v>0</v>
      </c>
      <c r="L83" s="18">
        <f>IFERROR(SUMIFS(MOVIMIENTOS!$E:$E,MOVIMIENTOS!$C:$C,$A83,MOVIMIENTOS!$B:$B,"SALIDA")+SUMIFS(MOVIMIENTOS!$E:$E,MOVIMIENTOS!$C:$C,$A83,MOVIMIENTOS!$B:$B,"MERMA"),0)</f>
        <v>0</v>
      </c>
      <c r="M83" s="18">
        <f t="shared" si="7"/>
        <v>0</v>
      </c>
      <c r="N83" s="17"/>
      <c r="AO83" s="18" t="str">
        <f t="shared" si="8"/>
        <v>REPONER</v>
      </c>
      <c r="AP83" s="20">
        <f t="shared" si="9"/>
        <v>0</v>
      </c>
      <c r="AQ83" s="17"/>
      <c r="AR83" s="16"/>
    </row>
    <row r="84" spans="1:44">
      <c r="A84" s="17"/>
      <c r="B84" s="17"/>
      <c r="C84" s="17"/>
      <c r="D84" s="17"/>
      <c r="E84" s="17"/>
      <c r="F84" s="17"/>
      <c r="G84" s="17"/>
      <c r="H84" s="25"/>
      <c r="I84" s="19">
        <f t="shared" si="6"/>
        <v>0</v>
      </c>
      <c r="J84" s="17"/>
      <c r="K84" s="18">
        <f>IFERROR(SUMIFS(MOVIMIENTOS!$E:$E,MOVIMIENTOS!$C:$C,$A84,MOVIMIENTOS!$B:$B,"ENTRADA"),0)</f>
        <v>0</v>
      </c>
      <c r="L84" s="18">
        <f>IFERROR(SUMIFS(MOVIMIENTOS!$E:$E,MOVIMIENTOS!$C:$C,$A84,MOVIMIENTOS!$B:$B,"SALIDA")+SUMIFS(MOVIMIENTOS!$E:$E,MOVIMIENTOS!$C:$C,$A84,MOVIMIENTOS!$B:$B,"MERMA"),0)</f>
        <v>0</v>
      </c>
      <c r="M84" s="18">
        <f t="shared" si="7"/>
        <v>0</v>
      </c>
      <c r="N84" s="17"/>
      <c r="AO84" s="18" t="str">
        <f t="shared" si="8"/>
        <v>REPONER</v>
      </c>
      <c r="AP84" s="20">
        <f t="shared" si="9"/>
        <v>0</v>
      </c>
      <c r="AQ84" s="17"/>
      <c r="AR84" s="16"/>
    </row>
    <row r="85" spans="1:44">
      <c r="A85" s="17"/>
      <c r="B85" s="17"/>
      <c r="C85" s="17"/>
      <c r="D85" s="17"/>
      <c r="E85" s="17"/>
      <c r="F85" s="17"/>
      <c r="G85" s="17"/>
      <c r="H85" s="25"/>
      <c r="I85" s="19">
        <f t="shared" si="6"/>
        <v>0</v>
      </c>
      <c r="J85" s="17"/>
      <c r="K85" s="18">
        <f>IFERROR(SUMIFS(MOVIMIENTOS!$E:$E,MOVIMIENTOS!$C:$C,$A85,MOVIMIENTOS!$B:$B,"ENTRADA"),0)</f>
        <v>0</v>
      </c>
      <c r="L85" s="18">
        <f>IFERROR(SUMIFS(MOVIMIENTOS!$E:$E,MOVIMIENTOS!$C:$C,$A85,MOVIMIENTOS!$B:$B,"SALIDA")+SUMIFS(MOVIMIENTOS!$E:$E,MOVIMIENTOS!$C:$C,$A85,MOVIMIENTOS!$B:$B,"MERMA"),0)</f>
        <v>0</v>
      </c>
      <c r="M85" s="18">
        <f t="shared" si="7"/>
        <v>0</v>
      </c>
      <c r="N85" s="17"/>
      <c r="AO85" s="18" t="str">
        <f t="shared" si="8"/>
        <v>REPONER</v>
      </c>
      <c r="AP85" s="20">
        <f t="shared" si="9"/>
        <v>0</v>
      </c>
      <c r="AQ85" s="17"/>
      <c r="AR85" s="16"/>
    </row>
    <row r="86" spans="1:44">
      <c r="A86" s="17"/>
      <c r="B86" s="17"/>
      <c r="C86" s="17"/>
      <c r="D86" s="17"/>
      <c r="E86" s="17"/>
      <c r="F86" s="17"/>
      <c r="G86" s="17"/>
      <c r="H86" s="25"/>
      <c r="I86" s="19">
        <f t="shared" si="6"/>
        <v>0</v>
      </c>
      <c r="J86" s="17"/>
      <c r="K86" s="18">
        <f>IFERROR(SUMIFS(MOVIMIENTOS!$E:$E,MOVIMIENTOS!$C:$C,$A86,MOVIMIENTOS!$B:$B,"ENTRADA"),0)</f>
        <v>0</v>
      </c>
      <c r="L86" s="18">
        <f>IFERROR(SUMIFS(MOVIMIENTOS!$E:$E,MOVIMIENTOS!$C:$C,$A86,MOVIMIENTOS!$B:$B,"SALIDA")+SUMIFS(MOVIMIENTOS!$E:$E,MOVIMIENTOS!$C:$C,$A86,MOVIMIENTOS!$B:$B,"MERMA"),0)</f>
        <v>0</v>
      </c>
      <c r="M86" s="18">
        <f t="shared" si="7"/>
        <v>0</v>
      </c>
      <c r="N86" s="17"/>
      <c r="AO86" s="18" t="str">
        <f t="shared" si="8"/>
        <v>REPONER</v>
      </c>
      <c r="AP86" s="20">
        <f t="shared" si="9"/>
        <v>0</v>
      </c>
      <c r="AQ86" s="17"/>
      <c r="AR86" s="16"/>
    </row>
    <row r="87" spans="1:44">
      <c r="A87" s="17"/>
      <c r="B87" s="17"/>
      <c r="C87" s="17"/>
      <c r="D87" s="17"/>
      <c r="E87" s="17"/>
      <c r="F87" s="17"/>
      <c r="G87" s="17"/>
      <c r="H87" s="25"/>
      <c r="I87" s="19">
        <f t="shared" si="6"/>
        <v>0</v>
      </c>
      <c r="J87" s="17"/>
      <c r="K87" s="18">
        <f>IFERROR(SUMIFS(MOVIMIENTOS!$E:$E,MOVIMIENTOS!$C:$C,$A87,MOVIMIENTOS!$B:$B,"ENTRADA"),0)</f>
        <v>0</v>
      </c>
      <c r="L87" s="18">
        <f>IFERROR(SUMIFS(MOVIMIENTOS!$E:$E,MOVIMIENTOS!$C:$C,$A87,MOVIMIENTOS!$B:$B,"SALIDA")+SUMIFS(MOVIMIENTOS!$E:$E,MOVIMIENTOS!$C:$C,$A87,MOVIMIENTOS!$B:$B,"MERMA"),0)</f>
        <v>0</v>
      </c>
      <c r="M87" s="18">
        <f t="shared" si="7"/>
        <v>0</v>
      </c>
      <c r="N87" s="17"/>
      <c r="AO87" s="18" t="str">
        <f t="shared" si="8"/>
        <v>REPONER</v>
      </c>
      <c r="AP87" s="20">
        <f t="shared" si="9"/>
        <v>0</v>
      </c>
      <c r="AQ87" s="17"/>
      <c r="AR87" s="16"/>
    </row>
    <row r="88" spans="1:44">
      <c r="A88" s="17"/>
      <c r="B88" s="17"/>
      <c r="C88" s="17"/>
      <c r="D88" s="17"/>
      <c r="E88" s="17"/>
      <c r="F88" s="17"/>
      <c r="G88" s="17"/>
      <c r="H88" s="25"/>
      <c r="I88" s="19">
        <f t="shared" si="6"/>
        <v>0</v>
      </c>
      <c r="J88" s="17"/>
      <c r="K88" s="18">
        <f>IFERROR(SUMIFS(MOVIMIENTOS!$E:$E,MOVIMIENTOS!$C:$C,$A88,MOVIMIENTOS!$B:$B,"ENTRADA"),0)</f>
        <v>0</v>
      </c>
      <c r="L88" s="18">
        <f>IFERROR(SUMIFS(MOVIMIENTOS!$E:$E,MOVIMIENTOS!$C:$C,$A88,MOVIMIENTOS!$B:$B,"SALIDA")+SUMIFS(MOVIMIENTOS!$E:$E,MOVIMIENTOS!$C:$C,$A88,MOVIMIENTOS!$B:$B,"MERMA"),0)</f>
        <v>0</v>
      </c>
      <c r="M88" s="18">
        <f t="shared" si="7"/>
        <v>0</v>
      </c>
      <c r="N88" s="17"/>
      <c r="AO88" s="18" t="str">
        <f t="shared" si="8"/>
        <v>REPONER</v>
      </c>
      <c r="AP88" s="20">
        <f t="shared" si="9"/>
        <v>0</v>
      </c>
      <c r="AQ88" s="17"/>
      <c r="AR88" s="16"/>
    </row>
    <row r="89" spans="1:44">
      <c r="A89" s="17"/>
      <c r="B89" s="17"/>
      <c r="C89" s="17"/>
      <c r="D89" s="17"/>
      <c r="E89" s="17"/>
      <c r="F89" s="17"/>
      <c r="G89" s="17"/>
      <c r="H89" s="25"/>
      <c r="I89" s="19">
        <f t="shared" si="6"/>
        <v>0</v>
      </c>
      <c r="J89" s="17"/>
      <c r="K89" s="18">
        <f>IFERROR(SUMIFS(MOVIMIENTOS!$E:$E,MOVIMIENTOS!$C:$C,$A89,MOVIMIENTOS!$B:$B,"ENTRADA"),0)</f>
        <v>0</v>
      </c>
      <c r="L89" s="18">
        <f>IFERROR(SUMIFS(MOVIMIENTOS!$E:$E,MOVIMIENTOS!$C:$C,$A89,MOVIMIENTOS!$B:$B,"SALIDA")+SUMIFS(MOVIMIENTOS!$E:$E,MOVIMIENTOS!$C:$C,$A89,MOVIMIENTOS!$B:$B,"MERMA"),0)</f>
        <v>0</v>
      </c>
      <c r="M89" s="18">
        <f t="shared" si="7"/>
        <v>0</v>
      </c>
      <c r="N89" s="17"/>
      <c r="AO89" s="18" t="str">
        <f t="shared" si="8"/>
        <v>REPONER</v>
      </c>
      <c r="AP89" s="20">
        <f t="shared" si="9"/>
        <v>0</v>
      </c>
      <c r="AQ89" s="17"/>
      <c r="AR89" s="16"/>
    </row>
    <row r="90" spans="1:44">
      <c r="A90" s="17"/>
      <c r="B90" s="17"/>
      <c r="C90" s="17"/>
      <c r="D90" s="17"/>
      <c r="E90" s="17"/>
      <c r="F90" s="17"/>
      <c r="G90" s="17"/>
      <c r="H90" s="25"/>
      <c r="I90" s="19">
        <f t="shared" si="6"/>
        <v>0</v>
      </c>
      <c r="J90" s="17"/>
      <c r="K90" s="18">
        <f>IFERROR(SUMIFS(MOVIMIENTOS!$E:$E,MOVIMIENTOS!$C:$C,$A90,MOVIMIENTOS!$B:$B,"ENTRADA"),0)</f>
        <v>0</v>
      </c>
      <c r="L90" s="18">
        <f>IFERROR(SUMIFS(MOVIMIENTOS!$E:$E,MOVIMIENTOS!$C:$C,$A90,MOVIMIENTOS!$B:$B,"SALIDA")+SUMIFS(MOVIMIENTOS!$E:$E,MOVIMIENTOS!$C:$C,$A90,MOVIMIENTOS!$B:$B,"MERMA"),0)</f>
        <v>0</v>
      </c>
      <c r="M90" s="18">
        <f t="shared" si="7"/>
        <v>0</v>
      </c>
      <c r="N90" s="17"/>
      <c r="AO90" s="18" t="str">
        <f t="shared" si="8"/>
        <v>REPONER</v>
      </c>
      <c r="AP90" s="20">
        <f t="shared" si="9"/>
        <v>0</v>
      </c>
      <c r="AQ90" s="17"/>
      <c r="AR90" s="16"/>
    </row>
    <row r="91" spans="1:44">
      <c r="A91" s="17"/>
      <c r="B91" s="17"/>
      <c r="C91" s="17"/>
      <c r="D91" s="17"/>
      <c r="E91" s="17"/>
      <c r="F91" s="17"/>
      <c r="G91" s="17"/>
      <c r="H91" s="25"/>
      <c r="I91" s="19">
        <f t="shared" si="6"/>
        <v>0</v>
      </c>
      <c r="J91" s="17"/>
      <c r="K91" s="18">
        <f>IFERROR(SUMIFS(MOVIMIENTOS!$E:$E,MOVIMIENTOS!$C:$C,$A91,MOVIMIENTOS!$B:$B,"ENTRADA"),0)</f>
        <v>0</v>
      </c>
      <c r="L91" s="18">
        <f>IFERROR(SUMIFS(MOVIMIENTOS!$E:$E,MOVIMIENTOS!$C:$C,$A91,MOVIMIENTOS!$B:$B,"SALIDA")+SUMIFS(MOVIMIENTOS!$E:$E,MOVIMIENTOS!$C:$C,$A91,MOVIMIENTOS!$B:$B,"MERMA"),0)</f>
        <v>0</v>
      </c>
      <c r="M91" s="18">
        <f t="shared" si="7"/>
        <v>0</v>
      </c>
      <c r="N91" s="17"/>
      <c r="AO91" s="18" t="str">
        <f t="shared" si="8"/>
        <v>REPONER</v>
      </c>
      <c r="AP91" s="20">
        <f t="shared" si="9"/>
        <v>0</v>
      </c>
      <c r="AQ91" s="17"/>
      <c r="AR91" s="16"/>
    </row>
    <row r="92" spans="1:44">
      <c r="A92" s="17"/>
      <c r="B92" s="17"/>
      <c r="C92" s="17"/>
      <c r="D92" s="17"/>
      <c r="E92" s="17"/>
      <c r="F92" s="17"/>
      <c r="G92" s="17"/>
      <c r="H92" s="25"/>
      <c r="I92" s="19">
        <f t="shared" si="6"/>
        <v>0</v>
      </c>
      <c r="J92" s="17"/>
      <c r="K92" s="18">
        <f>IFERROR(SUMIFS(MOVIMIENTOS!$E:$E,MOVIMIENTOS!$C:$C,$A92,MOVIMIENTOS!$B:$B,"ENTRADA"),0)</f>
        <v>0</v>
      </c>
      <c r="L92" s="18">
        <f>IFERROR(SUMIFS(MOVIMIENTOS!$E:$E,MOVIMIENTOS!$C:$C,$A92,MOVIMIENTOS!$B:$B,"SALIDA")+SUMIFS(MOVIMIENTOS!$E:$E,MOVIMIENTOS!$C:$C,$A92,MOVIMIENTOS!$B:$B,"MERMA"),0)</f>
        <v>0</v>
      </c>
      <c r="M92" s="18">
        <f t="shared" si="7"/>
        <v>0</v>
      </c>
      <c r="N92" s="17"/>
      <c r="AO92" s="18" t="str">
        <f t="shared" si="8"/>
        <v>REPONER</v>
      </c>
      <c r="AP92" s="20">
        <f t="shared" si="9"/>
        <v>0</v>
      </c>
      <c r="AQ92" s="17"/>
      <c r="AR92" s="16"/>
    </row>
    <row r="93" spans="1:44">
      <c r="A93" s="17"/>
      <c r="B93" s="17"/>
      <c r="C93" s="17"/>
      <c r="D93" s="17"/>
      <c r="E93" s="17"/>
      <c r="F93" s="17"/>
      <c r="G93" s="17"/>
      <c r="H93" s="25"/>
      <c r="I93" s="19">
        <f t="shared" si="6"/>
        <v>0</v>
      </c>
      <c r="J93" s="17"/>
      <c r="K93" s="18">
        <f>IFERROR(SUMIFS(MOVIMIENTOS!$E:$E,MOVIMIENTOS!$C:$C,$A93,MOVIMIENTOS!$B:$B,"ENTRADA"),0)</f>
        <v>0</v>
      </c>
      <c r="L93" s="18">
        <f>IFERROR(SUMIFS(MOVIMIENTOS!$E:$E,MOVIMIENTOS!$C:$C,$A93,MOVIMIENTOS!$B:$B,"SALIDA")+SUMIFS(MOVIMIENTOS!$E:$E,MOVIMIENTOS!$C:$C,$A93,MOVIMIENTOS!$B:$B,"MERMA"),0)</f>
        <v>0</v>
      </c>
      <c r="M93" s="18">
        <f t="shared" si="7"/>
        <v>0</v>
      </c>
      <c r="N93" s="17"/>
      <c r="AO93" s="18" t="str">
        <f t="shared" si="8"/>
        <v>REPONER</v>
      </c>
      <c r="AP93" s="20">
        <f t="shared" si="9"/>
        <v>0</v>
      </c>
      <c r="AQ93" s="17"/>
      <c r="AR93" s="16"/>
    </row>
    <row r="94" spans="1:44">
      <c r="A94" s="17"/>
      <c r="B94" s="17"/>
      <c r="C94" s="17"/>
      <c r="D94" s="17"/>
      <c r="E94" s="17"/>
      <c r="F94" s="17"/>
      <c r="G94" s="17"/>
      <c r="H94" s="25"/>
      <c r="I94" s="19">
        <f t="shared" si="6"/>
        <v>0</v>
      </c>
      <c r="J94" s="17"/>
      <c r="K94" s="18">
        <f>IFERROR(SUMIFS(MOVIMIENTOS!$E:$E,MOVIMIENTOS!$C:$C,$A94,MOVIMIENTOS!$B:$B,"ENTRADA"),0)</f>
        <v>0</v>
      </c>
      <c r="L94" s="18">
        <f>IFERROR(SUMIFS(MOVIMIENTOS!$E:$E,MOVIMIENTOS!$C:$C,$A94,MOVIMIENTOS!$B:$B,"SALIDA")+SUMIFS(MOVIMIENTOS!$E:$E,MOVIMIENTOS!$C:$C,$A94,MOVIMIENTOS!$B:$B,"MERMA"),0)</f>
        <v>0</v>
      </c>
      <c r="M94" s="18">
        <f t="shared" si="7"/>
        <v>0</v>
      </c>
      <c r="N94" s="17"/>
      <c r="AO94" s="18" t="str">
        <f t="shared" si="8"/>
        <v>REPONER</v>
      </c>
      <c r="AP94" s="20">
        <f t="shared" si="9"/>
        <v>0</v>
      </c>
      <c r="AQ94" s="17"/>
      <c r="AR94" s="16"/>
    </row>
    <row r="95" spans="1:44">
      <c r="A95" s="17"/>
      <c r="B95" s="17"/>
      <c r="C95" s="17"/>
      <c r="D95" s="17"/>
      <c r="E95" s="17"/>
      <c r="F95" s="17"/>
      <c r="G95" s="17"/>
      <c r="H95" s="25"/>
      <c r="I95" s="19">
        <f t="shared" si="6"/>
        <v>0</v>
      </c>
      <c r="J95" s="17"/>
      <c r="K95" s="18">
        <f>IFERROR(SUMIFS(MOVIMIENTOS!$E:$E,MOVIMIENTOS!$C:$C,$A95,MOVIMIENTOS!$B:$B,"ENTRADA"),0)</f>
        <v>0</v>
      </c>
      <c r="L95" s="18">
        <f>IFERROR(SUMIFS(MOVIMIENTOS!$E:$E,MOVIMIENTOS!$C:$C,$A95,MOVIMIENTOS!$B:$B,"SALIDA")+SUMIFS(MOVIMIENTOS!$E:$E,MOVIMIENTOS!$C:$C,$A95,MOVIMIENTOS!$B:$B,"MERMA"),0)</f>
        <v>0</v>
      </c>
      <c r="M95" s="18">
        <f t="shared" si="7"/>
        <v>0</v>
      </c>
      <c r="N95" s="17"/>
      <c r="AO95" s="18" t="str">
        <f t="shared" si="8"/>
        <v>REPONER</v>
      </c>
      <c r="AP95" s="20">
        <f t="shared" si="9"/>
        <v>0</v>
      </c>
      <c r="AQ95" s="17"/>
      <c r="AR95" s="16"/>
    </row>
    <row r="96" spans="1:44">
      <c r="A96" s="17"/>
      <c r="B96" s="17"/>
      <c r="C96" s="17"/>
      <c r="D96" s="17"/>
      <c r="E96" s="17"/>
      <c r="F96" s="17"/>
      <c r="G96" s="17"/>
      <c r="H96" s="25"/>
      <c r="I96" s="19">
        <f t="shared" si="6"/>
        <v>0</v>
      </c>
      <c r="J96" s="17"/>
      <c r="K96" s="18">
        <f>IFERROR(SUMIFS(MOVIMIENTOS!$E:$E,MOVIMIENTOS!$C:$C,$A96,MOVIMIENTOS!$B:$B,"ENTRADA"),0)</f>
        <v>0</v>
      </c>
      <c r="L96" s="18">
        <f>IFERROR(SUMIFS(MOVIMIENTOS!$E:$E,MOVIMIENTOS!$C:$C,$A96,MOVIMIENTOS!$B:$B,"SALIDA")+SUMIFS(MOVIMIENTOS!$E:$E,MOVIMIENTOS!$C:$C,$A96,MOVIMIENTOS!$B:$B,"MERMA"),0)</f>
        <v>0</v>
      </c>
      <c r="M96" s="18">
        <f t="shared" si="7"/>
        <v>0</v>
      </c>
      <c r="N96" s="17"/>
      <c r="AO96" s="18" t="str">
        <f t="shared" si="8"/>
        <v>REPONER</v>
      </c>
      <c r="AP96" s="20">
        <f t="shared" si="9"/>
        <v>0</v>
      </c>
      <c r="AQ96" s="17"/>
      <c r="AR96" s="16"/>
    </row>
    <row r="97" spans="1:44">
      <c r="A97" s="17"/>
      <c r="B97" s="17"/>
      <c r="C97" s="17"/>
      <c r="D97" s="17"/>
      <c r="E97" s="17"/>
      <c r="F97" s="17"/>
      <c r="G97" s="17"/>
      <c r="H97" s="25"/>
      <c r="I97" s="19">
        <f t="shared" si="6"/>
        <v>0</v>
      </c>
      <c r="J97" s="17"/>
      <c r="K97" s="18">
        <f>IFERROR(SUMIFS(MOVIMIENTOS!$E:$E,MOVIMIENTOS!$C:$C,$A97,MOVIMIENTOS!$B:$B,"ENTRADA"),0)</f>
        <v>0</v>
      </c>
      <c r="L97" s="18">
        <f>IFERROR(SUMIFS(MOVIMIENTOS!$E:$E,MOVIMIENTOS!$C:$C,$A97,MOVIMIENTOS!$B:$B,"SALIDA")+SUMIFS(MOVIMIENTOS!$E:$E,MOVIMIENTOS!$C:$C,$A97,MOVIMIENTOS!$B:$B,"MERMA"),0)</f>
        <v>0</v>
      </c>
      <c r="M97" s="18">
        <f t="shared" si="7"/>
        <v>0</v>
      </c>
      <c r="N97" s="17"/>
      <c r="AO97" s="18" t="str">
        <f t="shared" si="8"/>
        <v>REPONER</v>
      </c>
      <c r="AP97" s="20">
        <f t="shared" si="9"/>
        <v>0</v>
      </c>
      <c r="AQ97" s="17"/>
      <c r="AR97" s="16"/>
    </row>
    <row r="98" spans="1:44">
      <c r="A98" s="17"/>
      <c r="B98" s="17"/>
      <c r="C98" s="17"/>
      <c r="D98" s="17"/>
      <c r="E98" s="17"/>
      <c r="F98" s="17"/>
      <c r="G98" s="17"/>
      <c r="H98" s="25"/>
      <c r="I98" s="19">
        <f t="shared" si="6"/>
        <v>0</v>
      </c>
      <c r="J98" s="17"/>
      <c r="K98" s="18">
        <f>IFERROR(SUMIFS(MOVIMIENTOS!$E:$E,MOVIMIENTOS!$C:$C,$A98,MOVIMIENTOS!$B:$B,"ENTRADA"),0)</f>
        <v>0</v>
      </c>
      <c r="L98" s="18">
        <f>IFERROR(SUMIFS(MOVIMIENTOS!$E:$E,MOVIMIENTOS!$C:$C,$A98,MOVIMIENTOS!$B:$B,"SALIDA")+SUMIFS(MOVIMIENTOS!$E:$E,MOVIMIENTOS!$C:$C,$A98,MOVIMIENTOS!$B:$B,"MERMA"),0)</f>
        <v>0</v>
      </c>
      <c r="M98" s="18">
        <f t="shared" si="7"/>
        <v>0</v>
      </c>
      <c r="N98" s="17"/>
      <c r="AO98" s="18" t="str">
        <f t="shared" si="8"/>
        <v>REPONER</v>
      </c>
      <c r="AP98" s="20">
        <f t="shared" si="9"/>
        <v>0</v>
      </c>
      <c r="AQ98" s="17"/>
      <c r="AR98" s="16"/>
    </row>
    <row r="99" spans="1:44">
      <c r="A99" s="17"/>
      <c r="B99" s="17"/>
      <c r="C99" s="17"/>
      <c r="D99" s="17"/>
      <c r="E99" s="17"/>
      <c r="F99" s="17"/>
      <c r="G99" s="17"/>
      <c r="H99" s="25"/>
      <c r="I99" s="19">
        <f t="shared" si="6"/>
        <v>0</v>
      </c>
      <c r="J99" s="17"/>
      <c r="K99" s="18">
        <f>IFERROR(SUMIFS(MOVIMIENTOS!$E:$E,MOVIMIENTOS!$C:$C,$A99,MOVIMIENTOS!$B:$B,"ENTRADA"),0)</f>
        <v>0</v>
      </c>
      <c r="L99" s="18">
        <f>IFERROR(SUMIFS(MOVIMIENTOS!$E:$E,MOVIMIENTOS!$C:$C,$A99,MOVIMIENTOS!$B:$B,"SALIDA")+SUMIFS(MOVIMIENTOS!$E:$E,MOVIMIENTOS!$C:$C,$A99,MOVIMIENTOS!$B:$B,"MERMA"),0)</f>
        <v>0</v>
      </c>
      <c r="M99" s="18">
        <f t="shared" si="7"/>
        <v>0</v>
      </c>
      <c r="N99" s="17"/>
      <c r="AO99" s="18" t="str">
        <f t="shared" si="8"/>
        <v>REPONER</v>
      </c>
      <c r="AP99" s="20">
        <f t="shared" si="9"/>
        <v>0</v>
      </c>
      <c r="AQ99" s="17"/>
      <c r="AR99" s="16"/>
    </row>
    <row r="100" spans="1:44">
      <c r="A100" s="17"/>
      <c r="B100" s="17"/>
      <c r="C100" s="17"/>
      <c r="D100" s="17"/>
      <c r="E100" s="17"/>
      <c r="F100" s="17"/>
      <c r="G100" s="17"/>
      <c r="H100" s="25"/>
      <c r="I100" s="19">
        <f t="shared" si="6"/>
        <v>0</v>
      </c>
      <c r="J100" s="17"/>
      <c r="K100" s="18">
        <f>IFERROR(SUMIFS(MOVIMIENTOS!$E:$E,MOVIMIENTOS!$C:$C,$A100,MOVIMIENTOS!$B:$B,"ENTRADA"),0)</f>
        <v>0</v>
      </c>
      <c r="L100" s="18">
        <f>IFERROR(SUMIFS(MOVIMIENTOS!$E:$E,MOVIMIENTOS!$C:$C,$A100,MOVIMIENTOS!$B:$B,"SALIDA")+SUMIFS(MOVIMIENTOS!$E:$E,MOVIMIENTOS!$C:$C,$A100,MOVIMIENTOS!$B:$B,"MERMA"),0)</f>
        <v>0</v>
      </c>
      <c r="M100" s="18">
        <f t="shared" si="7"/>
        <v>0</v>
      </c>
      <c r="N100" s="17"/>
      <c r="AO100" s="18" t="str">
        <f t="shared" si="8"/>
        <v>REPONER</v>
      </c>
      <c r="AP100" s="20">
        <f t="shared" si="9"/>
        <v>0</v>
      </c>
      <c r="AQ100" s="17"/>
      <c r="AR100" s="16"/>
    </row>
    <row r="101" spans="1:44">
      <c r="A101" s="17"/>
      <c r="B101" s="17"/>
      <c r="C101" s="17"/>
      <c r="D101" s="17"/>
      <c r="E101" s="17"/>
      <c r="F101" s="17"/>
      <c r="G101" s="17"/>
      <c r="H101" s="25"/>
      <c r="I101" s="19">
        <f t="shared" si="6"/>
        <v>0</v>
      </c>
      <c r="J101" s="17"/>
      <c r="K101" s="18">
        <f>IFERROR(SUMIFS(MOVIMIENTOS!$E:$E,MOVIMIENTOS!$C:$C,$A101,MOVIMIENTOS!$B:$B,"ENTRADA"),0)</f>
        <v>0</v>
      </c>
      <c r="L101" s="18">
        <f>IFERROR(SUMIFS(MOVIMIENTOS!$E:$E,MOVIMIENTOS!$C:$C,$A101,MOVIMIENTOS!$B:$B,"SALIDA")+SUMIFS(MOVIMIENTOS!$E:$E,MOVIMIENTOS!$C:$C,$A101,MOVIMIENTOS!$B:$B,"MERMA"),0)</f>
        <v>0</v>
      </c>
      <c r="M101" s="18">
        <f t="shared" si="7"/>
        <v>0</v>
      </c>
      <c r="N101" s="17"/>
      <c r="AO101" s="18" t="str">
        <f t="shared" si="8"/>
        <v>REPONER</v>
      </c>
      <c r="AP101" s="20">
        <f t="shared" si="9"/>
        <v>0</v>
      </c>
      <c r="AQ101" s="17"/>
      <c r="AR101" s="16"/>
    </row>
    <row r="102" spans="1:44">
      <c r="A102" s="17"/>
      <c r="B102" s="17"/>
      <c r="C102" s="17"/>
      <c r="D102" s="17"/>
      <c r="E102" s="17"/>
      <c r="F102" s="17"/>
      <c r="G102" s="17"/>
      <c r="H102" s="25"/>
      <c r="I102" s="19">
        <f t="shared" si="6"/>
        <v>0</v>
      </c>
      <c r="J102" s="17"/>
      <c r="K102" s="18">
        <f>IFERROR(SUMIFS(MOVIMIENTOS!$E:$E,MOVIMIENTOS!$C:$C,$A102,MOVIMIENTOS!$B:$B,"ENTRADA"),0)</f>
        <v>0</v>
      </c>
      <c r="L102" s="18">
        <f>IFERROR(SUMIFS(MOVIMIENTOS!$E:$E,MOVIMIENTOS!$C:$C,$A102,MOVIMIENTOS!$B:$B,"SALIDA")+SUMIFS(MOVIMIENTOS!$E:$E,MOVIMIENTOS!$C:$C,$A102,MOVIMIENTOS!$B:$B,"MERMA"),0)</f>
        <v>0</v>
      </c>
      <c r="M102" s="18">
        <f t="shared" si="7"/>
        <v>0</v>
      </c>
      <c r="N102" s="17"/>
      <c r="AO102" s="18" t="str">
        <f t="shared" si="8"/>
        <v>REPONER</v>
      </c>
      <c r="AP102" s="20">
        <f t="shared" si="9"/>
        <v>0</v>
      </c>
      <c r="AQ102" s="17"/>
      <c r="AR102" s="16"/>
    </row>
    <row r="103" spans="1:44">
      <c r="A103" s="17"/>
      <c r="B103" s="17"/>
      <c r="C103" s="17"/>
      <c r="D103" s="17"/>
      <c r="E103" s="17"/>
      <c r="F103" s="17"/>
      <c r="G103" s="17"/>
      <c r="H103" s="25"/>
      <c r="I103" s="19">
        <f t="shared" si="6"/>
        <v>0</v>
      </c>
      <c r="J103" s="17"/>
      <c r="K103" s="18">
        <f>IFERROR(SUMIFS(MOVIMIENTOS!$E:$E,MOVIMIENTOS!$C:$C,$A103,MOVIMIENTOS!$B:$B,"ENTRADA"),0)</f>
        <v>0</v>
      </c>
      <c r="L103" s="18">
        <f>IFERROR(SUMIFS(MOVIMIENTOS!$E:$E,MOVIMIENTOS!$C:$C,$A103,MOVIMIENTOS!$B:$B,"SALIDA")+SUMIFS(MOVIMIENTOS!$E:$E,MOVIMIENTOS!$C:$C,$A103,MOVIMIENTOS!$B:$B,"MERMA"),0)</f>
        <v>0</v>
      </c>
      <c r="M103" s="18">
        <f t="shared" si="7"/>
        <v>0</v>
      </c>
      <c r="N103" s="17"/>
      <c r="AO103" s="18" t="str">
        <f t="shared" si="8"/>
        <v>REPONER</v>
      </c>
      <c r="AP103" s="20">
        <f t="shared" si="9"/>
        <v>0</v>
      </c>
      <c r="AQ103" s="17"/>
      <c r="AR103" s="16"/>
    </row>
    <row r="104" spans="1:44">
      <c r="A104" s="17"/>
      <c r="B104" s="17"/>
      <c r="C104" s="17"/>
      <c r="D104" s="17"/>
      <c r="E104" s="17"/>
      <c r="F104" s="17"/>
      <c r="G104" s="17"/>
      <c r="H104" s="25"/>
      <c r="I104" s="19">
        <f t="shared" si="6"/>
        <v>0</v>
      </c>
      <c r="J104" s="17"/>
      <c r="K104" s="18">
        <f>IFERROR(SUMIFS(MOVIMIENTOS!$E:$E,MOVIMIENTOS!$C:$C,$A104,MOVIMIENTOS!$B:$B,"ENTRADA"),0)</f>
        <v>0</v>
      </c>
      <c r="L104" s="18">
        <f>IFERROR(SUMIFS(MOVIMIENTOS!$E:$E,MOVIMIENTOS!$C:$C,$A104,MOVIMIENTOS!$B:$B,"SALIDA")+SUMIFS(MOVIMIENTOS!$E:$E,MOVIMIENTOS!$C:$C,$A104,MOVIMIENTOS!$B:$B,"MERMA"),0)</f>
        <v>0</v>
      </c>
      <c r="M104" s="18">
        <f t="shared" si="7"/>
        <v>0</v>
      </c>
      <c r="N104" s="17"/>
      <c r="AO104" s="18" t="str">
        <f t="shared" si="8"/>
        <v>REPONER</v>
      </c>
      <c r="AP104" s="20">
        <f t="shared" si="9"/>
        <v>0</v>
      </c>
      <c r="AQ104" s="17"/>
      <c r="AR104" s="16"/>
    </row>
    <row r="105" spans="1:44">
      <c r="A105" s="17"/>
      <c r="B105" s="17"/>
      <c r="C105" s="17"/>
      <c r="D105" s="17"/>
      <c r="E105" s="17"/>
      <c r="F105" s="17"/>
      <c r="G105" s="17"/>
      <c r="H105" s="25"/>
      <c r="I105" s="19">
        <f t="shared" si="6"/>
        <v>0</v>
      </c>
      <c r="J105" s="17"/>
      <c r="K105" s="18">
        <f>IFERROR(SUMIFS(MOVIMIENTOS!$E:$E,MOVIMIENTOS!$C:$C,$A105,MOVIMIENTOS!$B:$B,"ENTRADA"),0)</f>
        <v>0</v>
      </c>
      <c r="L105" s="18">
        <f>IFERROR(SUMIFS(MOVIMIENTOS!$E:$E,MOVIMIENTOS!$C:$C,$A105,MOVIMIENTOS!$B:$B,"SALIDA")+SUMIFS(MOVIMIENTOS!$E:$E,MOVIMIENTOS!$C:$C,$A105,MOVIMIENTOS!$B:$B,"MERMA"),0)</f>
        <v>0</v>
      </c>
      <c r="M105" s="18">
        <f t="shared" si="7"/>
        <v>0</v>
      </c>
      <c r="N105" s="17"/>
      <c r="AO105" s="18" t="str">
        <f t="shared" si="8"/>
        <v>REPONER</v>
      </c>
      <c r="AP105" s="20">
        <f t="shared" si="9"/>
        <v>0</v>
      </c>
      <c r="AQ105" s="17"/>
      <c r="AR105" s="16"/>
    </row>
    <row r="106" spans="1:44">
      <c r="A106" s="17"/>
      <c r="B106" s="17"/>
      <c r="C106" s="17"/>
      <c r="D106" s="17"/>
      <c r="E106" s="17"/>
      <c r="F106" s="17"/>
      <c r="G106" s="17"/>
      <c r="H106" s="25"/>
      <c r="I106" s="19">
        <f t="shared" si="6"/>
        <v>0</v>
      </c>
      <c r="J106" s="17"/>
      <c r="K106" s="18">
        <f>IFERROR(SUMIFS(MOVIMIENTOS!$E:$E,MOVIMIENTOS!$C:$C,$A106,MOVIMIENTOS!$B:$B,"ENTRADA"),0)</f>
        <v>0</v>
      </c>
      <c r="L106" s="18">
        <f>IFERROR(SUMIFS(MOVIMIENTOS!$E:$E,MOVIMIENTOS!$C:$C,$A106,MOVIMIENTOS!$B:$B,"SALIDA")+SUMIFS(MOVIMIENTOS!$E:$E,MOVIMIENTOS!$C:$C,$A106,MOVIMIENTOS!$B:$B,"MERMA"),0)</f>
        <v>0</v>
      </c>
      <c r="M106" s="18">
        <f t="shared" si="7"/>
        <v>0</v>
      </c>
      <c r="N106" s="17"/>
      <c r="AO106" s="18" t="str">
        <f t="shared" si="8"/>
        <v>REPONER</v>
      </c>
      <c r="AP106" s="20">
        <f t="shared" si="9"/>
        <v>0</v>
      </c>
      <c r="AQ106" s="17"/>
      <c r="AR106" s="16"/>
    </row>
    <row r="107" spans="1:44">
      <c r="A107" s="17"/>
      <c r="B107" s="17"/>
      <c r="C107" s="17"/>
      <c r="D107" s="17"/>
      <c r="E107" s="17"/>
      <c r="F107" s="17"/>
      <c r="G107" s="17"/>
      <c r="H107" s="25"/>
      <c r="I107" s="19">
        <f t="shared" si="6"/>
        <v>0</v>
      </c>
      <c r="J107" s="17"/>
      <c r="K107" s="18">
        <f>IFERROR(SUMIFS(MOVIMIENTOS!$E:$E,MOVIMIENTOS!$C:$C,$A107,MOVIMIENTOS!$B:$B,"ENTRADA"),0)</f>
        <v>0</v>
      </c>
      <c r="L107" s="18">
        <f>IFERROR(SUMIFS(MOVIMIENTOS!$E:$E,MOVIMIENTOS!$C:$C,$A107,MOVIMIENTOS!$B:$B,"SALIDA")+SUMIFS(MOVIMIENTOS!$E:$E,MOVIMIENTOS!$C:$C,$A107,MOVIMIENTOS!$B:$B,"MERMA"),0)</f>
        <v>0</v>
      </c>
      <c r="M107" s="18">
        <f t="shared" si="7"/>
        <v>0</v>
      </c>
      <c r="N107" s="17"/>
      <c r="AO107" s="18" t="str">
        <f t="shared" si="8"/>
        <v>REPONER</v>
      </c>
      <c r="AP107" s="20">
        <f t="shared" si="9"/>
        <v>0</v>
      </c>
      <c r="AQ107" s="17"/>
      <c r="AR107" s="16"/>
    </row>
    <row r="108" spans="1:44">
      <c r="A108" s="17"/>
      <c r="B108" s="17"/>
      <c r="C108" s="17"/>
      <c r="D108" s="17"/>
      <c r="E108" s="17"/>
      <c r="F108" s="17"/>
      <c r="G108" s="17"/>
      <c r="H108" s="25"/>
      <c r="I108" s="19">
        <f t="shared" si="6"/>
        <v>0</v>
      </c>
      <c r="J108" s="17"/>
      <c r="K108" s="18">
        <f>IFERROR(SUMIFS(MOVIMIENTOS!$E:$E,MOVIMIENTOS!$C:$C,$A108,MOVIMIENTOS!$B:$B,"ENTRADA"),0)</f>
        <v>0</v>
      </c>
      <c r="L108" s="18">
        <f>IFERROR(SUMIFS(MOVIMIENTOS!$E:$E,MOVIMIENTOS!$C:$C,$A108,MOVIMIENTOS!$B:$B,"SALIDA")+SUMIFS(MOVIMIENTOS!$E:$E,MOVIMIENTOS!$C:$C,$A108,MOVIMIENTOS!$B:$B,"MERMA"),0)</f>
        <v>0</v>
      </c>
      <c r="M108" s="18">
        <f t="shared" si="7"/>
        <v>0</v>
      </c>
      <c r="N108" s="17"/>
      <c r="AO108" s="18" t="str">
        <f t="shared" si="8"/>
        <v>REPONER</v>
      </c>
      <c r="AP108" s="20">
        <f t="shared" si="9"/>
        <v>0</v>
      </c>
      <c r="AQ108" s="17"/>
      <c r="AR108" s="16"/>
    </row>
    <row r="109" spans="1:44">
      <c r="A109" s="17"/>
      <c r="B109" s="17"/>
      <c r="C109" s="17"/>
      <c r="D109" s="17"/>
      <c r="E109" s="17"/>
      <c r="F109" s="17"/>
      <c r="G109" s="17"/>
      <c r="H109" s="25"/>
      <c r="I109" s="19">
        <f t="shared" si="6"/>
        <v>0</v>
      </c>
      <c r="J109" s="17"/>
      <c r="K109" s="18">
        <f>IFERROR(SUMIFS(MOVIMIENTOS!$E:$E,MOVIMIENTOS!$C:$C,$A109,MOVIMIENTOS!$B:$B,"ENTRADA"),0)</f>
        <v>0</v>
      </c>
      <c r="L109" s="18">
        <f>IFERROR(SUMIFS(MOVIMIENTOS!$E:$E,MOVIMIENTOS!$C:$C,$A109,MOVIMIENTOS!$B:$B,"SALIDA")+SUMIFS(MOVIMIENTOS!$E:$E,MOVIMIENTOS!$C:$C,$A109,MOVIMIENTOS!$B:$B,"MERMA"),0)</f>
        <v>0</v>
      </c>
      <c r="M109" s="18">
        <f t="shared" si="7"/>
        <v>0</v>
      </c>
      <c r="N109" s="17"/>
      <c r="AO109" s="18" t="str">
        <f t="shared" si="8"/>
        <v>REPONER</v>
      </c>
      <c r="AP109" s="20">
        <f t="shared" si="9"/>
        <v>0</v>
      </c>
      <c r="AQ109" s="17"/>
      <c r="AR109" s="16"/>
    </row>
    <row r="110" spans="1:44">
      <c r="A110" s="17"/>
      <c r="B110" s="17"/>
      <c r="C110" s="17"/>
      <c r="D110" s="17"/>
      <c r="E110" s="17"/>
      <c r="F110" s="17"/>
      <c r="G110" s="17"/>
      <c r="H110" s="25"/>
      <c r="I110" s="19">
        <f t="shared" si="6"/>
        <v>0</v>
      </c>
      <c r="J110" s="17"/>
      <c r="K110" s="18">
        <f>IFERROR(SUMIFS(MOVIMIENTOS!$E:$E,MOVIMIENTOS!$C:$C,$A110,MOVIMIENTOS!$B:$B,"ENTRADA"),0)</f>
        <v>0</v>
      </c>
      <c r="L110" s="18">
        <f>IFERROR(SUMIFS(MOVIMIENTOS!$E:$E,MOVIMIENTOS!$C:$C,$A110,MOVIMIENTOS!$B:$B,"SALIDA")+SUMIFS(MOVIMIENTOS!$E:$E,MOVIMIENTOS!$C:$C,$A110,MOVIMIENTOS!$B:$B,"MERMA"),0)</f>
        <v>0</v>
      </c>
      <c r="M110" s="18">
        <f t="shared" si="7"/>
        <v>0</v>
      </c>
      <c r="N110" s="17"/>
      <c r="AO110" s="18" t="str">
        <f t="shared" si="8"/>
        <v>REPONER</v>
      </c>
      <c r="AP110" s="20">
        <f t="shared" si="9"/>
        <v>0</v>
      </c>
      <c r="AQ110" s="17"/>
      <c r="AR110" s="16"/>
    </row>
    <row r="111" spans="1:44">
      <c r="A111" s="17"/>
      <c r="B111" s="17"/>
      <c r="C111" s="17"/>
      <c r="D111" s="17"/>
      <c r="E111" s="17"/>
      <c r="F111" s="17"/>
      <c r="G111" s="17"/>
      <c r="H111" s="25"/>
      <c r="I111" s="19">
        <f t="shared" si="6"/>
        <v>0</v>
      </c>
      <c r="J111" s="17"/>
      <c r="K111" s="18">
        <f>IFERROR(SUMIFS(MOVIMIENTOS!$E:$E,MOVIMIENTOS!$C:$C,$A111,MOVIMIENTOS!$B:$B,"ENTRADA"),0)</f>
        <v>0</v>
      </c>
      <c r="L111" s="18">
        <f>IFERROR(SUMIFS(MOVIMIENTOS!$E:$E,MOVIMIENTOS!$C:$C,$A111,MOVIMIENTOS!$B:$B,"SALIDA")+SUMIFS(MOVIMIENTOS!$E:$E,MOVIMIENTOS!$C:$C,$A111,MOVIMIENTOS!$B:$B,"MERMA"),0)</f>
        <v>0</v>
      </c>
      <c r="M111" s="18">
        <f t="shared" si="7"/>
        <v>0</v>
      </c>
      <c r="N111" s="17"/>
      <c r="AO111" s="18" t="str">
        <f t="shared" si="8"/>
        <v>REPONER</v>
      </c>
      <c r="AP111" s="20">
        <f t="shared" si="9"/>
        <v>0</v>
      </c>
      <c r="AQ111" s="17"/>
      <c r="AR111" s="16"/>
    </row>
    <row r="112" spans="1:44">
      <c r="A112" s="17"/>
      <c r="B112" s="17"/>
      <c r="C112" s="17"/>
      <c r="D112" s="17"/>
      <c r="E112" s="17"/>
      <c r="F112" s="17"/>
      <c r="G112" s="17"/>
      <c r="H112" s="25"/>
      <c r="I112" s="19">
        <f t="shared" si="6"/>
        <v>0</v>
      </c>
      <c r="J112" s="17"/>
      <c r="K112" s="18">
        <f>IFERROR(SUMIFS(MOVIMIENTOS!$E:$E,MOVIMIENTOS!$C:$C,$A112,MOVIMIENTOS!$B:$B,"ENTRADA"),0)</f>
        <v>0</v>
      </c>
      <c r="L112" s="18">
        <f>IFERROR(SUMIFS(MOVIMIENTOS!$E:$E,MOVIMIENTOS!$C:$C,$A112,MOVIMIENTOS!$B:$B,"SALIDA")+SUMIFS(MOVIMIENTOS!$E:$E,MOVIMIENTOS!$C:$C,$A112,MOVIMIENTOS!$B:$B,"MERMA"),0)</f>
        <v>0</v>
      </c>
      <c r="M112" s="18">
        <f t="shared" si="7"/>
        <v>0</v>
      </c>
      <c r="N112" s="17"/>
      <c r="AO112" s="18" t="str">
        <f t="shared" si="8"/>
        <v>REPONER</v>
      </c>
      <c r="AP112" s="20">
        <f t="shared" si="9"/>
        <v>0</v>
      </c>
      <c r="AQ112" s="17"/>
      <c r="AR112" s="16"/>
    </row>
    <row r="113" spans="1:44">
      <c r="A113" s="17"/>
      <c r="B113" s="17"/>
      <c r="C113" s="17"/>
      <c r="D113" s="17"/>
      <c r="E113" s="17"/>
      <c r="F113" s="17"/>
      <c r="G113" s="17"/>
      <c r="H113" s="25"/>
      <c r="I113" s="19">
        <f t="shared" si="6"/>
        <v>0</v>
      </c>
      <c r="J113" s="17"/>
      <c r="K113" s="18">
        <f>IFERROR(SUMIFS(MOVIMIENTOS!$E:$E,MOVIMIENTOS!$C:$C,$A113,MOVIMIENTOS!$B:$B,"ENTRADA"),0)</f>
        <v>0</v>
      </c>
      <c r="L113" s="18">
        <f>IFERROR(SUMIFS(MOVIMIENTOS!$E:$E,MOVIMIENTOS!$C:$C,$A113,MOVIMIENTOS!$B:$B,"SALIDA")+SUMIFS(MOVIMIENTOS!$E:$E,MOVIMIENTOS!$C:$C,$A113,MOVIMIENTOS!$B:$B,"MERMA"),0)</f>
        <v>0</v>
      </c>
      <c r="M113" s="18">
        <f t="shared" si="7"/>
        <v>0</v>
      </c>
      <c r="N113" s="17"/>
      <c r="AO113" s="18" t="str">
        <f t="shared" si="8"/>
        <v>REPONER</v>
      </c>
      <c r="AP113" s="20">
        <f t="shared" si="9"/>
        <v>0</v>
      </c>
      <c r="AQ113" s="17"/>
      <c r="AR113" s="16"/>
    </row>
    <row r="114" spans="1:44">
      <c r="A114" s="17"/>
      <c r="B114" s="17"/>
      <c r="C114" s="17"/>
      <c r="D114" s="17"/>
      <c r="E114" s="17"/>
      <c r="F114" s="17"/>
      <c r="G114" s="17"/>
      <c r="H114" s="25"/>
      <c r="I114" s="19">
        <f t="shared" si="6"/>
        <v>0</v>
      </c>
      <c r="J114" s="17"/>
      <c r="K114" s="18">
        <f>IFERROR(SUMIFS(MOVIMIENTOS!$E:$E,MOVIMIENTOS!$C:$C,$A114,MOVIMIENTOS!$B:$B,"ENTRADA"),0)</f>
        <v>0</v>
      </c>
      <c r="L114" s="18">
        <f>IFERROR(SUMIFS(MOVIMIENTOS!$E:$E,MOVIMIENTOS!$C:$C,$A114,MOVIMIENTOS!$B:$B,"SALIDA")+SUMIFS(MOVIMIENTOS!$E:$E,MOVIMIENTOS!$C:$C,$A114,MOVIMIENTOS!$B:$B,"MERMA"),0)</f>
        <v>0</v>
      </c>
      <c r="M114" s="18">
        <f t="shared" si="7"/>
        <v>0</v>
      </c>
      <c r="N114" s="17"/>
      <c r="AO114" s="18" t="str">
        <f t="shared" si="8"/>
        <v>REPONER</v>
      </c>
      <c r="AP114" s="20">
        <f t="shared" si="9"/>
        <v>0</v>
      </c>
      <c r="AQ114" s="17"/>
      <c r="AR114" s="16"/>
    </row>
    <row r="115" spans="1:44">
      <c r="A115" s="17"/>
      <c r="B115" s="17"/>
      <c r="C115" s="17"/>
      <c r="D115" s="17"/>
      <c r="E115" s="17"/>
      <c r="F115" s="17"/>
      <c r="G115" s="17"/>
      <c r="H115" s="25"/>
      <c r="I115" s="19">
        <f t="shared" si="6"/>
        <v>0</v>
      </c>
      <c r="J115" s="17"/>
      <c r="K115" s="18">
        <f>IFERROR(SUMIFS(MOVIMIENTOS!$E:$E,MOVIMIENTOS!$C:$C,$A115,MOVIMIENTOS!$B:$B,"ENTRADA"),0)</f>
        <v>0</v>
      </c>
      <c r="L115" s="18">
        <f>IFERROR(SUMIFS(MOVIMIENTOS!$E:$E,MOVIMIENTOS!$C:$C,$A115,MOVIMIENTOS!$B:$B,"SALIDA")+SUMIFS(MOVIMIENTOS!$E:$E,MOVIMIENTOS!$C:$C,$A115,MOVIMIENTOS!$B:$B,"MERMA"),0)</f>
        <v>0</v>
      </c>
      <c r="M115" s="18">
        <f t="shared" si="7"/>
        <v>0</v>
      </c>
      <c r="N115" s="17"/>
      <c r="AO115" s="18" t="str">
        <f t="shared" si="8"/>
        <v>REPONER</v>
      </c>
      <c r="AP115" s="20">
        <f t="shared" si="9"/>
        <v>0</v>
      </c>
      <c r="AQ115" s="17"/>
      <c r="AR115" s="16"/>
    </row>
    <row r="116" spans="1:44">
      <c r="A116" s="17"/>
      <c r="B116" s="17"/>
      <c r="C116" s="17"/>
      <c r="D116" s="17"/>
      <c r="E116" s="17"/>
      <c r="F116" s="17"/>
      <c r="G116" s="17"/>
      <c r="H116" s="25"/>
      <c r="I116" s="19">
        <f t="shared" si="6"/>
        <v>0</v>
      </c>
      <c r="J116" s="17"/>
      <c r="K116" s="18">
        <f>IFERROR(SUMIFS(MOVIMIENTOS!$E:$E,MOVIMIENTOS!$C:$C,$A116,MOVIMIENTOS!$B:$B,"ENTRADA"),0)</f>
        <v>0</v>
      </c>
      <c r="L116" s="18">
        <f>IFERROR(SUMIFS(MOVIMIENTOS!$E:$E,MOVIMIENTOS!$C:$C,$A116,MOVIMIENTOS!$B:$B,"SALIDA")+SUMIFS(MOVIMIENTOS!$E:$E,MOVIMIENTOS!$C:$C,$A116,MOVIMIENTOS!$B:$B,"MERMA"),0)</f>
        <v>0</v>
      </c>
      <c r="M116" s="18">
        <f t="shared" si="7"/>
        <v>0</v>
      </c>
      <c r="N116" s="17"/>
      <c r="AO116" s="18" t="str">
        <f t="shared" si="8"/>
        <v>REPONER</v>
      </c>
      <c r="AP116" s="20">
        <f t="shared" si="9"/>
        <v>0</v>
      </c>
      <c r="AQ116" s="17"/>
      <c r="AR116" s="16"/>
    </row>
    <row r="117" spans="1:44">
      <c r="A117" s="17"/>
      <c r="B117" s="17"/>
      <c r="C117" s="17"/>
      <c r="D117" s="17"/>
      <c r="E117" s="17"/>
      <c r="F117" s="17"/>
      <c r="G117" s="17"/>
      <c r="H117" s="25"/>
      <c r="I117" s="19">
        <f t="shared" si="6"/>
        <v>0</v>
      </c>
      <c r="J117" s="17"/>
      <c r="K117" s="18">
        <f>IFERROR(SUMIFS(MOVIMIENTOS!$E:$E,MOVIMIENTOS!$C:$C,$A117,MOVIMIENTOS!$B:$B,"ENTRADA"),0)</f>
        <v>0</v>
      </c>
      <c r="L117" s="18">
        <f>IFERROR(SUMIFS(MOVIMIENTOS!$E:$E,MOVIMIENTOS!$C:$C,$A117,MOVIMIENTOS!$B:$B,"SALIDA")+SUMIFS(MOVIMIENTOS!$E:$E,MOVIMIENTOS!$C:$C,$A117,MOVIMIENTOS!$B:$B,"MERMA"),0)</f>
        <v>0</v>
      </c>
      <c r="M117" s="18">
        <f t="shared" si="7"/>
        <v>0</v>
      </c>
      <c r="N117" s="17"/>
      <c r="AO117" s="18" t="str">
        <f t="shared" si="8"/>
        <v>REPONER</v>
      </c>
      <c r="AP117" s="20">
        <f t="shared" si="9"/>
        <v>0</v>
      </c>
      <c r="AQ117" s="17"/>
      <c r="AR117" s="16"/>
    </row>
    <row r="118" spans="1:44">
      <c r="A118" s="17"/>
      <c r="B118" s="17"/>
      <c r="C118" s="17"/>
      <c r="D118" s="17"/>
      <c r="E118" s="17"/>
      <c r="F118" s="17"/>
      <c r="G118" s="17"/>
      <c r="H118" s="25"/>
      <c r="I118" s="19">
        <f t="shared" si="6"/>
        <v>0</v>
      </c>
      <c r="J118" s="17"/>
      <c r="K118" s="18">
        <f>IFERROR(SUMIFS(MOVIMIENTOS!$E:$E,MOVIMIENTOS!$C:$C,$A118,MOVIMIENTOS!$B:$B,"ENTRADA"),0)</f>
        <v>0</v>
      </c>
      <c r="L118" s="18">
        <f>IFERROR(SUMIFS(MOVIMIENTOS!$E:$E,MOVIMIENTOS!$C:$C,$A118,MOVIMIENTOS!$B:$B,"SALIDA")+SUMIFS(MOVIMIENTOS!$E:$E,MOVIMIENTOS!$C:$C,$A118,MOVIMIENTOS!$B:$B,"MERMA"),0)</f>
        <v>0</v>
      </c>
      <c r="M118" s="18">
        <f t="shared" si="7"/>
        <v>0</v>
      </c>
      <c r="N118" s="17"/>
      <c r="AO118" s="18" t="str">
        <f t="shared" si="8"/>
        <v>REPONER</v>
      </c>
      <c r="AP118" s="20">
        <f t="shared" si="9"/>
        <v>0</v>
      </c>
      <c r="AQ118" s="17"/>
      <c r="AR118" s="16"/>
    </row>
    <row r="119" spans="1:44">
      <c r="A119" s="17"/>
      <c r="B119" s="17"/>
      <c r="C119" s="17"/>
      <c r="D119" s="17"/>
      <c r="E119" s="17"/>
      <c r="F119" s="17"/>
      <c r="G119" s="17"/>
      <c r="H119" s="25"/>
      <c r="I119" s="19">
        <f t="shared" si="6"/>
        <v>0</v>
      </c>
      <c r="J119" s="17"/>
      <c r="K119" s="18">
        <f>IFERROR(SUMIFS(MOVIMIENTOS!$E:$E,MOVIMIENTOS!$C:$C,$A119,MOVIMIENTOS!$B:$B,"ENTRADA"),0)</f>
        <v>0</v>
      </c>
      <c r="L119" s="18">
        <f>IFERROR(SUMIFS(MOVIMIENTOS!$E:$E,MOVIMIENTOS!$C:$C,$A119,MOVIMIENTOS!$B:$B,"SALIDA")+SUMIFS(MOVIMIENTOS!$E:$E,MOVIMIENTOS!$C:$C,$A119,MOVIMIENTOS!$B:$B,"MERMA"),0)</f>
        <v>0</v>
      </c>
      <c r="M119" s="18">
        <f t="shared" si="7"/>
        <v>0</v>
      </c>
      <c r="N119" s="17"/>
      <c r="AO119" s="18" t="str">
        <f t="shared" si="8"/>
        <v>REPONER</v>
      </c>
      <c r="AP119" s="20">
        <f t="shared" si="9"/>
        <v>0</v>
      </c>
      <c r="AQ119" s="17"/>
      <c r="AR119" s="16"/>
    </row>
    <row r="120" spans="1:44">
      <c r="A120" s="17"/>
      <c r="B120" s="17"/>
      <c r="C120" s="17"/>
      <c r="D120" s="17"/>
      <c r="E120" s="17"/>
      <c r="F120" s="17"/>
      <c r="G120" s="17"/>
      <c r="H120" s="25"/>
      <c r="I120" s="19">
        <f t="shared" si="6"/>
        <v>0</v>
      </c>
      <c r="J120" s="17"/>
      <c r="K120" s="18">
        <f>IFERROR(SUMIFS(MOVIMIENTOS!$E:$E,MOVIMIENTOS!$C:$C,$A120,MOVIMIENTOS!$B:$B,"ENTRADA"),0)</f>
        <v>0</v>
      </c>
      <c r="L120" s="18">
        <f>IFERROR(SUMIFS(MOVIMIENTOS!$E:$E,MOVIMIENTOS!$C:$C,$A120,MOVIMIENTOS!$B:$B,"SALIDA")+SUMIFS(MOVIMIENTOS!$E:$E,MOVIMIENTOS!$C:$C,$A120,MOVIMIENTOS!$B:$B,"MERMA"),0)</f>
        <v>0</v>
      </c>
      <c r="M120" s="18">
        <f t="shared" si="7"/>
        <v>0</v>
      </c>
      <c r="N120" s="17"/>
      <c r="AO120" s="18" t="str">
        <f t="shared" si="8"/>
        <v>REPONER</v>
      </c>
      <c r="AP120" s="20">
        <f t="shared" si="9"/>
        <v>0</v>
      </c>
      <c r="AQ120" s="17"/>
      <c r="AR120" s="16"/>
    </row>
    <row r="121" spans="1:44">
      <c r="A121" s="17"/>
      <c r="B121" s="17"/>
      <c r="C121" s="17"/>
      <c r="D121" s="17"/>
      <c r="E121" s="17"/>
      <c r="F121" s="17"/>
      <c r="G121" s="17"/>
      <c r="H121" s="25"/>
      <c r="I121" s="19">
        <f t="shared" si="6"/>
        <v>0</v>
      </c>
      <c r="J121" s="17"/>
      <c r="K121" s="18">
        <f>IFERROR(SUMIFS(MOVIMIENTOS!$E:$E,MOVIMIENTOS!$C:$C,$A121,MOVIMIENTOS!$B:$B,"ENTRADA"),0)</f>
        <v>0</v>
      </c>
      <c r="L121" s="18">
        <f>IFERROR(SUMIFS(MOVIMIENTOS!$E:$E,MOVIMIENTOS!$C:$C,$A121,MOVIMIENTOS!$B:$B,"SALIDA")+SUMIFS(MOVIMIENTOS!$E:$E,MOVIMIENTOS!$C:$C,$A121,MOVIMIENTOS!$B:$B,"MERMA"),0)</f>
        <v>0</v>
      </c>
      <c r="M121" s="18">
        <f t="shared" si="7"/>
        <v>0</v>
      </c>
      <c r="N121" s="17"/>
      <c r="AO121" s="18" t="str">
        <f t="shared" si="8"/>
        <v>REPONER</v>
      </c>
      <c r="AP121" s="20">
        <f t="shared" si="9"/>
        <v>0</v>
      </c>
      <c r="AQ121" s="17"/>
      <c r="AR121" s="16"/>
    </row>
    <row r="122" spans="1:44">
      <c r="A122" s="17"/>
      <c r="B122" s="17"/>
      <c r="C122" s="17"/>
      <c r="D122" s="17"/>
      <c r="E122" s="17"/>
      <c r="F122" s="17"/>
      <c r="G122" s="17"/>
      <c r="H122" s="25"/>
      <c r="I122" s="19">
        <f t="shared" si="6"/>
        <v>0</v>
      </c>
      <c r="J122" s="17"/>
      <c r="K122" s="18">
        <f>IFERROR(SUMIFS(MOVIMIENTOS!$E:$E,MOVIMIENTOS!$C:$C,$A122,MOVIMIENTOS!$B:$B,"ENTRADA"),0)</f>
        <v>0</v>
      </c>
      <c r="L122" s="18">
        <f>IFERROR(SUMIFS(MOVIMIENTOS!$E:$E,MOVIMIENTOS!$C:$C,$A122,MOVIMIENTOS!$B:$B,"SALIDA")+SUMIFS(MOVIMIENTOS!$E:$E,MOVIMIENTOS!$C:$C,$A122,MOVIMIENTOS!$B:$B,"MERMA"),0)</f>
        <v>0</v>
      </c>
      <c r="M122" s="18">
        <f t="shared" si="7"/>
        <v>0</v>
      </c>
      <c r="N122" s="17"/>
      <c r="AO122" s="18" t="str">
        <f t="shared" si="8"/>
        <v>REPONER</v>
      </c>
      <c r="AP122" s="20">
        <f t="shared" si="9"/>
        <v>0</v>
      </c>
      <c r="AQ122" s="17"/>
      <c r="AR122" s="16"/>
    </row>
    <row r="123" spans="1:44">
      <c r="A123" s="17"/>
      <c r="B123" s="17"/>
      <c r="C123" s="17"/>
      <c r="D123" s="17"/>
      <c r="E123" s="17"/>
      <c r="F123" s="17"/>
      <c r="G123" s="17"/>
      <c r="H123" s="25"/>
      <c r="I123" s="19">
        <f t="shared" si="6"/>
        <v>0</v>
      </c>
      <c r="J123" s="17"/>
      <c r="K123" s="18">
        <f>IFERROR(SUMIFS(MOVIMIENTOS!$E:$E,MOVIMIENTOS!$C:$C,$A123,MOVIMIENTOS!$B:$B,"ENTRADA"),0)</f>
        <v>0</v>
      </c>
      <c r="L123" s="18">
        <f>IFERROR(SUMIFS(MOVIMIENTOS!$E:$E,MOVIMIENTOS!$C:$C,$A123,MOVIMIENTOS!$B:$B,"SALIDA")+SUMIFS(MOVIMIENTOS!$E:$E,MOVIMIENTOS!$C:$C,$A123,MOVIMIENTOS!$B:$B,"MERMA"),0)</f>
        <v>0</v>
      </c>
      <c r="M123" s="18">
        <f t="shared" si="7"/>
        <v>0</v>
      </c>
      <c r="N123" s="17"/>
      <c r="AO123" s="18" t="str">
        <f t="shared" si="8"/>
        <v>REPONER</v>
      </c>
      <c r="AP123" s="20">
        <f t="shared" si="9"/>
        <v>0</v>
      </c>
      <c r="AQ123" s="17"/>
      <c r="AR123" s="16"/>
    </row>
    <row r="124" spans="1:44">
      <c r="A124" s="17"/>
      <c r="B124" s="17"/>
      <c r="C124" s="17"/>
      <c r="D124" s="17"/>
      <c r="E124" s="17"/>
      <c r="F124" s="17"/>
      <c r="G124" s="17"/>
      <c r="H124" s="25"/>
      <c r="I124" s="19">
        <f t="shared" si="6"/>
        <v>0</v>
      </c>
      <c r="J124" s="17"/>
      <c r="K124" s="18">
        <f>IFERROR(SUMIFS(MOVIMIENTOS!$E:$E,MOVIMIENTOS!$C:$C,$A124,MOVIMIENTOS!$B:$B,"ENTRADA"),0)</f>
        <v>0</v>
      </c>
      <c r="L124" s="18">
        <f>IFERROR(SUMIFS(MOVIMIENTOS!$E:$E,MOVIMIENTOS!$C:$C,$A124,MOVIMIENTOS!$B:$B,"SALIDA")+SUMIFS(MOVIMIENTOS!$E:$E,MOVIMIENTOS!$C:$C,$A124,MOVIMIENTOS!$B:$B,"MERMA"),0)</f>
        <v>0</v>
      </c>
      <c r="M124" s="18">
        <f t="shared" si="7"/>
        <v>0</v>
      </c>
      <c r="N124" s="17"/>
      <c r="AO124" s="18" t="str">
        <f t="shared" si="8"/>
        <v>REPONER</v>
      </c>
      <c r="AP124" s="20">
        <f t="shared" si="9"/>
        <v>0</v>
      </c>
      <c r="AQ124" s="17"/>
      <c r="AR124" s="16"/>
    </row>
    <row r="125" spans="1:44">
      <c r="A125" s="17"/>
      <c r="B125" s="17"/>
      <c r="C125" s="17"/>
      <c r="D125" s="17"/>
      <c r="E125" s="17"/>
      <c r="F125" s="17"/>
      <c r="G125" s="17"/>
      <c r="H125" s="25"/>
      <c r="I125" s="19">
        <f t="shared" si="6"/>
        <v>0</v>
      </c>
      <c r="J125" s="17"/>
      <c r="K125" s="18">
        <f>IFERROR(SUMIFS(MOVIMIENTOS!$E:$E,MOVIMIENTOS!$C:$C,$A125,MOVIMIENTOS!$B:$B,"ENTRADA"),0)</f>
        <v>0</v>
      </c>
      <c r="L125" s="18">
        <f>IFERROR(SUMIFS(MOVIMIENTOS!$E:$E,MOVIMIENTOS!$C:$C,$A125,MOVIMIENTOS!$B:$B,"SALIDA")+SUMIFS(MOVIMIENTOS!$E:$E,MOVIMIENTOS!$C:$C,$A125,MOVIMIENTOS!$B:$B,"MERMA"),0)</f>
        <v>0</v>
      </c>
      <c r="M125" s="18">
        <f t="shared" si="7"/>
        <v>0</v>
      </c>
      <c r="N125" s="17"/>
      <c r="AO125" s="18" t="str">
        <f t="shared" si="8"/>
        <v>REPONER</v>
      </c>
      <c r="AP125" s="20">
        <f t="shared" si="9"/>
        <v>0</v>
      </c>
      <c r="AQ125" s="17"/>
      <c r="AR125" s="16"/>
    </row>
    <row r="126" spans="1:44">
      <c r="A126" s="17"/>
      <c r="B126" s="17"/>
      <c r="C126" s="17"/>
      <c r="D126" s="17"/>
      <c r="E126" s="17"/>
      <c r="F126" s="17"/>
      <c r="G126" s="17"/>
      <c r="H126" s="25"/>
      <c r="I126" s="19">
        <f t="shared" si="6"/>
        <v>0</v>
      </c>
      <c r="J126" s="17"/>
      <c r="K126" s="18">
        <f>IFERROR(SUMIFS(MOVIMIENTOS!$E:$E,MOVIMIENTOS!$C:$C,$A126,MOVIMIENTOS!$B:$B,"ENTRADA"),0)</f>
        <v>0</v>
      </c>
      <c r="L126" s="18">
        <f>IFERROR(SUMIFS(MOVIMIENTOS!$E:$E,MOVIMIENTOS!$C:$C,$A126,MOVIMIENTOS!$B:$B,"SALIDA")+SUMIFS(MOVIMIENTOS!$E:$E,MOVIMIENTOS!$C:$C,$A126,MOVIMIENTOS!$B:$B,"MERMA"),0)</f>
        <v>0</v>
      </c>
      <c r="M126" s="18">
        <f t="shared" si="7"/>
        <v>0</v>
      </c>
      <c r="N126" s="17"/>
      <c r="AO126" s="18" t="str">
        <f t="shared" si="8"/>
        <v>REPONER</v>
      </c>
      <c r="AP126" s="20">
        <f t="shared" si="9"/>
        <v>0</v>
      </c>
      <c r="AQ126" s="17"/>
      <c r="AR126" s="16"/>
    </row>
    <row r="127" spans="1:44">
      <c r="A127" s="17"/>
      <c r="B127" s="17"/>
      <c r="C127" s="17"/>
      <c r="D127" s="17"/>
      <c r="E127" s="17"/>
      <c r="F127" s="17"/>
      <c r="G127" s="17"/>
      <c r="H127" s="25"/>
      <c r="I127" s="19">
        <f t="shared" si="6"/>
        <v>0</v>
      </c>
      <c r="J127" s="17"/>
      <c r="K127" s="18">
        <f>IFERROR(SUMIFS(MOVIMIENTOS!$E:$E,MOVIMIENTOS!$C:$C,$A127,MOVIMIENTOS!$B:$B,"ENTRADA"),0)</f>
        <v>0</v>
      </c>
      <c r="L127" s="18">
        <f>IFERROR(SUMIFS(MOVIMIENTOS!$E:$E,MOVIMIENTOS!$C:$C,$A127,MOVIMIENTOS!$B:$B,"SALIDA")+SUMIFS(MOVIMIENTOS!$E:$E,MOVIMIENTOS!$C:$C,$A127,MOVIMIENTOS!$B:$B,"MERMA"),0)</f>
        <v>0</v>
      </c>
      <c r="M127" s="18">
        <f t="shared" si="7"/>
        <v>0</v>
      </c>
      <c r="N127" s="17"/>
      <c r="AO127" s="18" t="str">
        <f t="shared" si="8"/>
        <v>REPONER</v>
      </c>
      <c r="AP127" s="20">
        <f t="shared" si="9"/>
        <v>0</v>
      </c>
      <c r="AQ127" s="17"/>
      <c r="AR127" s="16"/>
    </row>
    <row r="128" spans="1:44">
      <c r="A128" s="17"/>
      <c r="B128" s="17"/>
      <c r="C128" s="17"/>
      <c r="D128" s="17"/>
      <c r="E128" s="17"/>
      <c r="F128" s="17"/>
      <c r="G128" s="17"/>
      <c r="H128" s="25"/>
      <c r="I128" s="19">
        <f t="shared" si="6"/>
        <v>0</v>
      </c>
      <c r="J128" s="17"/>
      <c r="K128" s="18">
        <f>IFERROR(SUMIFS(MOVIMIENTOS!$E:$E,MOVIMIENTOS!$C:$C,$A128,MOVIMIENTOS!$B:$B,"ENTRADA"),0)</f>
        <v>0</v>
      </c>
      <c r="L128" s="18">
        <f>IFERROR(SUMIFS(MOVIMIENTOS!$E:$E,MOVIMIENTOS!$C:$C,$A128,MOVIMIENTOS!$B:$B,"SALIDA")+SUMIFS(MOVIMIENTOS!$E:$E,MOVIMIENTOS!$C:$C,$A128,MOVIMIENTOS!$B:$B,"MERMA"),0)</f>
        <v>0</v>
      </c>
      <c r="M128" s="18">
        <f t="shared" si="7"/>
        <v>0</v>
      </c>
      <c r="N128" s="17"/>
      <c r="AO128" s="18" t="str">
        <f t="shared" si="8"/>
        <v>REPONER</v>
      </c>
      <c r="AP128" s="20">
        <f t="shared" si="9"/>
        <v>0</v>
      </c>
      <c r="AQ128" s="17"/>
      <c r="AR128" s="16"/>
    </row>
    <row r="129" spans="1:44">
      <c r="A129" s="17"/>
      <c r="B129" s="17"/>
      <c r="C129" s="17"/>
      <c r="D129" s="17"/>
      <c r="E129" s="17"/>
      <c r="F129" s="17"/>
      <c r="G129" s="17"/>
      <c r="H129" s="25"/>
      <c r="I129" s="19">
        <f t="shared" si="6"/>
        <v>0</v>
      </c>
      <c r="J129" s="17"/>
      <c r="K129" s="18">
        <f>IFERROR(SUMIFS(MOVIMIENTOS!$E:$E,MOVIMIENTOS!$C:$C,$A129,MOVIMIENTOS!$B:$B,"ENTRADA"),0)</f>
        <v>0</v>
      </c>
      <c r="L129" s="18">
        <f>IFERROR(SUMIFS(MOVIMIENTOS!$E:$E,MOVIMIENTOS!$C:$C,$A129,MOVIMIENTOS!$B:$B,"SALIDA")+SUMIFS(MOVIMIENTOS!$E:$E,MOVIMIENTOS!$C:$C,$A129,MOVIMIENTOS!$B:$B,"MERMA"),0)</f>
        <v>0</v>
      </c>
      <c r="M129" s="18">
        <f t="shared" si="7"/>
        <v>0</v>
      </c>
      <c r="N129" s="17"/>
      <c r="AO129" s="18" t="str">
        <f t="shared" si="8"/>
        <v>REPONER</v>
      </c>
      <c r="AP129" s="20">
        <f t="shared" si="9"/>
        <v>0</v>
      </c>
      <c r="AQ129" s="17"/>
      <c r="AR129" s="16"/>
    </row>
    <row r="130" spans="1:44">
      <c r="A130" s="17"/>
      <c r="B130" s="17"/>
      <c r="C130" s="17"/>
      <c r="D130" s="17"/>
      <c r="E130" s="17"/>
      <c r="F130" s="17"/>
      <c r="G130" s="17"/>
      <c r="H130" s="25"/>
      <c r="I130" s="19">
        <f t="shared" si="6"/>
        <v>0</v>
      </c>
      <c r="J130" s="17"/>
      <c r="K130" s="18">
        <f>IFERROR(SUMIFS(MOVIMIENTOS!$E:$E,MOVIMIENTOS!$C:$C,$A130,MOVIMIENTOS!$B:$B,"ENTRADA"),0)</f>
        <v>0</v>
      </c>
      <c r="L130" s="18">
        <f>IFERROR(SUMIFS(MOVIMIENTOS!$E:$E,MOVIMIENTOS!$C:$C,$A130,MOVIMIENTOS!$B:$B,"SALIDA")+SUMIFS(MOVIMIENTOS!$E:$E,MOVIMIENTOS!$C:$C,$A130,MOVIMIENTOS!$B:$B,"MERMA"),0)</f>
        <v>0</v>
      </c>
      <c r="M130" s="18">
        <f t="shared" si="7"/>
        <v>0</v>
      </c>
      <c r="N130" s="17"/>
      <c r="AO130" s="18" t="str">
        <f t="shared" si="8"/>
        <v>REPONER</v>
      </c>
      <c r="AP130" s="20">
        <f t="shared" si="9"/>
        <v>0</v>
      </c>
      <c r="AQ130" s="17"/>
      <c r="AR130" s="16"/>
    </row>
    <row r="131" spans="1:44">
      <c r="A131" s="17"/>
      <c r="B131" s="17"/>
      <c r="C131" s="17"/>
      <c r="D131" s="17"/>
      <c r="E131" s="17"/>
      <c r="F131" s="17"/>
      <c r="G131" s="17"/>
      <c r="H131" s="25"/>
      <c r="I131" s="19">
        <f t="shared" si="6"/>
        <v>0</v>
      </c>
      <c r="J131" s="17"/>
      <c r="K131" s="18">
        <f>IFERROR(SUMIFS(MOVIMIENTOS!$E:$E,MOVIMIENTOS!$C:$C,$A131,MOVIMIENTOS!$B:$B,"ENTRADA"),0)</f>
        <v>0</v>
      </c>
      <c r="L131" s="18">
        <f>IFERROR(SUMIFS(MOVIMIENTOS!$E:$E,MOVIMIENTOS!$C:$C,$A131,MOVIMIENTOS!$B:$B,"SALIDA")+SUMIFS(MOVIMIENTOS!$E:$E,MOVIMIENTOS!$C:$C,$A131,MOVIMIENTOS!$B:$B,"MERMA"),0)</f>
        <v>0</v>
      </c>
      <c r="M131" s="18">
        <f t="shared" si="7"/>
        <v>0</v>
      </c>
      <c r="N131" s="17"/>
      <c r="AO131" s="18" t="str">
        <f t="shared" si="8"/>
        <v>REPONER</v>
      </c>
      <c r="AP131" s="20">
        <f t="shared" si="9"/>
        <v>0</v>
      </c>
      <c r="AQ131" s="17"/>
      <c r="AR131" s="16"/>
    </row>
    <row r="132" spans="1:44">
      <c r="A132" s="17"/>
      <c r="B132" s="17"/>
      <c r="C132" s="17"/>
      <c r="D132" s="17"/>
      <c r="E132" s="17"/>
      <c r="F132" s="17"/>
      <c r="G132" s="17"/>
      <c r="H132" s="25"/>
      <c r="I132" s="19">
        <f t="shared" si="6"/>
        <v>0</v>
      </c>
      <c r="J132" s="17"/>
      <c r="K132" s="18">
        <f>IFERROR(SUMIFS(MOVIMIENTOS!$E:$E,MOVIMIENTOS!$C:$C,$A132,MOVIMIENTOS!$B:$B,"ENTRADA"),0)</f>
        <v>0</v>
      </c>
      <c r="L132" s="18">
        <f>IFERROR(SUMIFS(MOVIMIENTOS!$E:$E,MOVIMIENTOS!$C:$C,$A132,MOVIMIENTOS!$B:$B,"SALIDA")+SUMIFS(MOVIMIENTOS!$E:$E,MOVIMIENTOS!$C:$C,$A132,MOVIMIENTOS!$B:$B,"MERMA"),0)</f>
        <v>0</v>
      </c>
      <c r="M132" s="18">
        <f t="shared" si="7"/>
        <v>0</v>
      </c>
      <c r="N132" s="17"/>
      <c r="AO132" s="18" t="str">
        <f t="shared" si="8"/>
        <v>REPONER</v>
      </c>
      <c r="AP132" s="20">
        <f t="shared" si="9"/>
        <v>0</v>
      </c>
      <c r="AQ132" s="17"/>
      <c r="AR132" s="16"/>
    </row>
    <row r="133" spans="1:44">
      <c r="A133" s="17"/>
      <c r="B133" s="17"/>
      <c r="C133" s="17"/>
      <c r="D133" s="17"/>
      <c r="E133" s="17"/>
      <c r="F133" s="17"/>
      <c r="G133" s="17"/>
      <c r="H133" s="25"/>
      <c r="I133" s="19">
        <f t="shared" ref="I133:I196" si="10">IFERROR(H133/(G133*E133),0)</f>
        <v>0</v>
      </c>
      <c r="J133" s="17"/>
      <c r="K133" s="18">
        <f>IFERROR(SUMIFS(MOVIMIENTOS!$E:$E,MOVIMIENTOS!$C:$C,$A133,MOVIMIENTOS!$B:$B,"ENTRADA"),0)</f>
        <v>0</v>
      </c>
      <c r="L133" s="18">
        <f>IFERROR(SUMIFS(MOVIMIENTOS!$E:$E,MOVIMIENTOS!$C:$C,$A133,MOVIMIENTOS!$B:$B,"SALIDA")+SUMIFS(MOVIMIENTOS!$E:$E,MOVIMIENTOS!$C:$C,$A133,MOVIMIENTOS!$B:$B,"MERMA"),0)</f>
        <v>0</v>
      </c>
      <c r="M133" s="18">
        <f t="shared" ref="M133:M196" si="11">IFERROR(J133+K133-L133,0)</f>
        <v>0</v>
      </c>
      <c r="N133" s="17"/>
      <c r="AO133" s="18" t="str">
        <f t="shared" ref="AO133:AO196" si="12">IF(M133&lt;=N133,"REPONER","OK")</f>
        <v>REPONER</v>
      </c>
      <c r="AP133" s="20">
        <f t="shared" ref="AP133:AP196" si="13">IFERROR(M133*I133,0)</f>
        <v>0</v>
      </c>
      <c r="AQ133" s="17"/>
      <c r="AR133" s="16"/>
    </row>
    <row r="134" spans="1:44">
      <c r="A134" s="17"/>
      <c r="B134" s="17"/>
      <c r="C134" s="17"/>
      <c r="D134" s="17"/>
      <c r="E134" s="17"/>
      <c r="F134" s="17"/>
      <c r="G134" s="17"/>
      <c r="H134" s="25"/>
      <c r="I134" s="19">
        <f t="shared" si="10"/>
        <v>0</v>
      </c>
      <c r="J134" s="17"/>
      <c r="K134" s="18">
        <f>IFERROR(SUMIFS(MOVIMIENTOS!$E:$E,MOVIMIENTOS!$C:$C,$A134,MOVIMIENTOS!$B:$B,"ENTRADA"),0)</f>
        <v>0</v>
      </c>
      <c r="L134" s="18">
        <f>IFERROR(SUMIFS(MOVIMIENTOS!$E:$E,MOVIMIENTOS!$C:$C,$A134,MOVIMIENTOS!$B:$B,"SALIDA")+SUMIFS(MOVIMIENTOS!$E:$E,MOVIMIENTOS!$C:$C,$A134,MOVIMIENTOS!$B:$B,"MERMA"),0)</f>
        <v>0</v>
      </c>
      <c r="M134" s="18">
        <f t="shared" si="11"/>
        <v>0</v>
      </c>
      <c r="N134" s="17"/>
      <c r="AO134" s="18" t="str">
        <f t="shared" si="12"/>
        <v>REPONER</v>
      </c>
      <c r="AP134" s="20">
        <f t="shared" si="13"/>
        <v>0</v>
      </c>
      <c r="AQ134" s="17"/>
      <c r="AR134" s="16"/>
    </row>
    <row r="135" spans="1:44">
      <c r="A135" s="17"/>
      <c r="B135" s="17"/>
      <c r="C135" s="17"/>
      <c r="D135" s="17"/>
      <c r="E135" s="17"/>
      <c r="F135" s="17"/>
      <c r="G135" s="17"/>
      <c r="H135" s="25"/>
      <c r="I135" s="19">
        <f t="shared" si="10"/>
        <v>0</v>
      </c>
      <c r="J135" s="17"/>
      <c r="K135" s="18">
        <f>IFERROR(SUMIFS(MOVIMIENTOS!$E:$E,MOVIMIENTOS!$C:$C,$A135,MOVIMIENTOS!$B:$B,"ENTRADA"),0)</f>
        <v>0</v>
      </c>
      <c r="L135" s="18">
        <f>IFERROR(SUMIFS(MOVIMIENTOS!$E:$E,MOVIMIENTOS!$C:$C,$A135,MOVIMIENTOS!$B:$B,"SALIDA")+SUMIFS(MOVIMIENTOS!$E:$E,MOVIMIENTOS!$C:$C,$A135,MOVIMIENTOS!$B:$B,"MERMA"),0)</f>
        <v>0</v>
      </c>
      <c r="M135" s="18">
        <f t="shared" si="11"/>
        <v>0</v>
      </c>
      <c r="N135" s="17"/>
      <c r="AO135" s="18" t="str">
        <f t="shared" si="12"/>
        <v>REPONER</v>
      </c>
      <c r="AP135" s="20">
        <f t="shared" si="13"/>
        <v>0</v>
      </c>
      <c r="AQ135" s="17"/>
      <c r="AR135" s="16"/>
    </row>
    <row r="136" spans="1:44">
      <c r="A136" s="17"/>
      <c r="B136" s="17"/>
      <c r="C136" s="17"/>
      <c r="D136" s="17"/>
      <c r="E136" s="17"/>
      <c r="F136" s="17"/>
      <c r="G136" s="17"/>
      <c r="H136" s="25"/>
      <c r="I136" s="19">
        <f t="shared" si="10"/>
        <v>0</v>
      </c>
      <c r="J136" s="17"/>
      <c r="K136" s="18">
        <f>IFERROR(SUMIFS(MOVIMIENTOS!$E:$E,MOVIMIENTOS!$C:$C,$A136,MOVIMIENTOS!$B:$B,"ENTRADA"),0)</f>
        <v>0</v>
      </c>
      <c r="L136" s="18">
        <f>IFERROR(SUMIFS(MOVIMIENTOS!$E:$E,MOVIMIENTOS!$C:$C,$A136,MOVIMIENTOS!$B:$B,"SALIDA")+SUMIFS(MOVIMIENTOS!$E:$E,MOVIMIENTOS!$C:$C,$A136,MOVIMIENTOS!$B:$B,"MERMA"),0)</f>
        <v>0</v>
      </c>
      <c r="M136" s="18">
        <f t="shared" si="11"/>
        <v>0</v>
      </c>
      <c r="N136" s="17"/>
      <c r="AO136" s="18" t="str">
        <f t="shared" si="12"/>
        <v>REPONER</v>
      </c>
      <c r="AP136" s="20">
        <f t="shared" si="13"/>
        <v>0</v>
      </c>
      <c r="AQ136" s="17"/>
      <c r="AR136" s="16"/>
    </row>
    <row r="137" spans="1:44">
      <c r="A137" s="17"/>
      <c r="B137" s="17"/>
      <c r="C137" s="17"/>
      <c r="D137" s="17"/>
      <c r="E137" s="17"/>
      <c r="F137" s="17"/>
      <c r="G137" s="17"/>
      <c r="H137" s="25"/>
      <c r="I137" s="19">
        <f t="shared" si="10"/>
        <v>0</v>
      </c>
      <c r="J137" s="17"/>
      <c r="K137" s="18">
        <f>IFERROR(SUMIFS(MOVIMIENTOS!$E:$E,MOVIMIENTOS!$C:$C,$A137,MOVIMIENTOS!$B:$B,"ENTRADA"),0)</f>
        <v>0</v>
      </c>
      <c r="L137" s="18">
        <f>IFERROR(SUMIFS(MOVIMIENTOS!$E:$E,MOVIMIENTOS!$C:$C,$A137,MOVIMIENTOS!$B:$B,"SALIDA")+SUMIFS(MOVIMIENTOS!$E:$E,MOVIMIENTOS!$C:$C,$A137,MOVIMIENTOS!$B:$B,"MERMA"),0)</f>
        <v>0</v>
      </c>
      <c r="M137" s="18">
        <f t="shared" si="11"/>
        <v>0</v>
      </c>
      <c r="N137" s="17"/>
      <c r="AO137" s="18" t="str">
        <f t="shared" si="12"/>
        <v>REPONER</v>
      </c>
      <c r="AP137" s="20">
        <f t="shared" si="13"/>
        <v>0</v>
      </c>
      <c r="AQ137" s="17"/>
      <c r="AR137" s="16"/>
    </row>
    <row r="138" spans="1:44">
      <c r="A138" s="17"/>
      <c r="B138" s="17"/>
      <c r="C138" s="17"/>
      <c r="D138" s="17"/>
      <c r="E138" s="17"/>
      <c r="F138" s="17"/>
      <c r="G138" s="17"/>
      <c r="H138" s="25"/>
      <c r="I138" s="19">
        <f t="shared" si="10"/>
        <v>0</v>
      </c>
      <c r="J138" s="17"/>
      <c r="K138" s="18">
        <f>IFERROR(SUMIFS(MOVIMIENTOS!$E:$E,MOVIMIENTOS!$C:$C,$A138,MOVIMIENTOS!$B:$B,"ENTRADA"),0)</f>
        <v>0</v>
      </c>
      <c r="L138" s="18">
        <f>IFERROR(SUMIFS(MOVIMIENTOS!$E:$E,MOVIMIENTOS!$C:$C,$A138,MOVIMIENTOS!$B:$B,"SALIDA")+SUMIFS(MOVIMIENTOS!$E:$E,MOVIMIENTOS!$C:$C,$A138,MOVIMIENTOS!$B:$B,"MERMA"),0)</f>
        <v>0</v>
      </c>
      <c r="M138" s="18">
        <f t="shared" si="11"/>
        <v>0</v>
      </c>
      <c r="N138" s="17"/>
      <c r="AO138" s="18" t="str">
        <f t="shared" si="12"/>
        <v>REPONER</v>
      </c>
      <c r="AP138" s="20">
        <f t="shared" si="13"/>
        <v>0</v>
      </c>
      <c r="AQ138" s="17"/>
      <c r="AR138" s="16"/>
    </row>
    <row r="139" spans="1:44">
      <c r="A139" s="17"/>
      <c r="B139" s="17"/>
      <c r="C139" s="17"/>
      <c r="D139" s="17"/>
      <c r="E139" s="17"/>
      <c r="F139" s="17"/>
      <c r="G139" s="17"/>
      <c r="H139" s="25"/>
      <c r="I139" s="19">
        <f t="shared" si="10"/>
        <v>0</v>
      </c>
      <c r="J139" s="17"/>
      <c r="K139" s="18">
        <f>IFERROR(SUMIFS(MOVIMIENTOS!$E:$E,MOVIMIENTOS!$C:$C,$A139,MOVIMIENTOS!$B:$B,"ENTRADA"),0)</f>
        <v>0</v>
      </c>
      <c r="L139" s="18">
        <f>IFERROR(SUMIFS(MOVIMIENTOS!$E:$E,MOVIMIENTOS!$C:$C,$A139,MOVIMIENTOS!$B:$B,"SALIDA")+SUMIFS(MOVIMIENTOS!$E:$E,MOVIMIENTOS!$C:$C,$A139,MOVIMIENTOS!$B:$B,"MERMA"),0)</f>
        <v>0</v>
      </c>
      <c r="M139" s="18">
        <f t="shared" si="11"/>
        <v>0</v>
      </c>
      <c r="N139" s="17"/>
      <c r="AO139" s="18" t="str">
        <f t="shared" si="12"/>
        <v>REPONER</v>
      </c>
      <c r="AP139" s="20">
        <f t="shared" si="13"/>
        <v>0</v>
      </c>
      <c r="AQ139" s="17"/>
      <c r="AR139" s="16"/>
    </row>
    <row r="140" spans="1:44">
      <c r="A140" s="17"/>
      <c r="B140" s="17"/>
      <c r="C140" s="17"/>
      <c r="D140" s="17"/>
      <c r="E140" s="17"/>
      <c r="F140" s="17"/>
      <c r="G140" s="17"/>
      <c r="H140" s="25"/>
      <c r="I140" s="19">
        <f t="shared" si="10"/>
        <v>0</v>
      </c>
      <c r="J140" s="17"/>
      <c r="K140" s="18">
        <f>IFERROR(SUMIFS(MOVIMIENTOS!$E:$E,MOVIMIENTOS!$C:$C,$A140,MOVIMIENTOS!$B:$B,"ENTRADA"),0)</f>
        <v>0</v>
      </c>
      <c r="L140" s="18">
        <f>IFERROR(SUMIFS(MOVIMIENTOS!$E:$E,MOVIMIENTOS!$C:$C,$A140,MOVIMIENTOS!$B:$B,"SALIDA")+SUMIFS(MOVIMIENTOS!$E:$E,MOVIMIENTOS!$C:$C,$A140,MOVIMIENTOS!$B:$B,"MERMA"),0)</f>
        <v>0</v>
      </c>
      <c r="M140" s="18">
        <f t="shared" si="11"/>
        <v>0</v>
      </c>
      <c r="N140" s="17"/>
      <c r="AO140" s="18" t="str">
        <f t="shared" si="12"/>
        <v>REPONER</v>
      </c>
      <c r="AP140" s="20">
        <f t="shared" si="13"/>
        <v>0</v>
      </c>
      <c r="AQ140" s="17"/>
      <c r="AR140" s="16"/>
    </row>
    <row r="141" spans="1:44">
      <c r="A141" s="17"/>
      <c r="B141" s="17"/>
      <c r="C141" s="17"/>
      <c r="D141" s="17"/>
      <c r="E141" s="17"/>
      <c r="F141" s="17"/>
      <c r="G141" s="17"/>
      <c r="H141" s="25"/>
      <c r="I141" s="19">
        <f t="shared" si="10"/>
        <v>0</v>
      </c>
      <c r="J141" s="17"/>
      <c r="K141" s="18">
        <f>IFERROR(SUMIFS(MOVIMIENTOS!$E:$E,MOVIMIENTOS!$C:$C,$A141,MOVIMIENTOS!$B:$B,"ENTRADA"),0)</f>
        <v>0</v>
      </c>
      <c r="L141" s="18">
        <f>IFERROR(SUMIFS(MOVIMIENTOS!$E:$E,MOVIMIENTOS!$C:$C,$A141,MOVIMIENTOS!$B:$B,"SALIDA")+SUMIFS(MOVIMIENTOS!$E:$E,MOVIMIENTOS!$C:$C,$A141,MOVIMIENTOS!$B:$B,"MERMA"),0)</f>
        <v>0</v>
      </c>
      <c r="M141" s="18">
        <f t="shared" si="11"/>
        <v>0</v>
      </c>
      <c r="N141" s="17"/>
      <c r="AO141" s="18" t="str">
        <f t="shared" si="12"/>
        <v>REPONER</v>
      </c>
      <c r="AP141" s="20">
        <f t="shared" si="13"/>
        <v>0</v>
      </c>
      <c r="AQ141" s="17"/>
      <c r="AR141" s="16"/>
    </row>
    <row r="142" spans="1:44">
      <c r="A142" s="17"/>
      <c r="B142" s="17"/>
      <c r="C142" s="17"/>
      <c r="D142" s="17"/>
      <c r="E142" s="17"/>
      <c r="F142" s="17"/>
      <c r="G142" s="17"/>
      <c r="H142" s="25"/>
      <c r="I142" s="19">
        <f t="shared" si="10"/>
        <v>0</v>
      </c>
      <c r="J142" s="17"/>
      <c r="K142" s="18">
        <f>IFERROR(SUMIFS(MOVIMIENTOS!$E:$E,MOVIMIENTOS!$C:$C,$A142,MOVIMIENTOS!$B:$B,"ENTRADA"),0)</f>
        <v>0</v>
      </c>
      <c r="L142" s="18">
        <f>IFERROR(SUMIFS(MOVIMIENTOS!$E:$E,MOVIMIENTOS!$C:$C,$A142,MOVIMIENTOS!$B:$B,"SALIDA")+SUMIFS(MOVIMIENTOS!$E:$E,MOVIMIENTOS!$C:$C,$A142,MOVIMIENTOS!$B:$B,"MERMA"),0)</f>
        <v>0</v>
      </c>
      <c r="M142" s="18">
        <f t="shared" si="11"/>
        <v>0</v>
      </c>
      <c r="N142" s="17"/>
      <c r="AO142" s="18" t="str">
        <f t="shared" si="12"/>
        <v>REPONER</v>
      </c>
      <c r="AP142" s="20">
        <f t="shared" si="13"/>
        <v>0</v>
      </c>
      <c r="AQ142" s="17"/>
      <c r="AR142" s="16"/>
    </row>
    <row r="143" spans="1:44">
      <c r="A143" s="17"/>
      <c r="B143" s="17"/>
      <c r="C143" s="17"/>
      <c r="D143" s="17"/>
      <c r="E143" s="17"/>
      <c r="F143" s="17"/>
      <c r="G143" s="17"/>
      <c r="H143" s="25"/>
      <c r="I143" s="19">
        <f t="shared" si="10"/>
        <v>0</v>
      </c>
      <c r="J143" s="17"/>
      <c r="K143" s="18">
        <f>IFERROR(SUMIFS(MOVIMIENTOS!$E:$E,MOVIMIENTOS!$C:$C,$A143,MOVIMIENTOS!$B:$B,"ENTRADA"),0)</f>
        <v>0</v>
      </c>
      <c r="L143" s="18">
        <f>IFERROR(SUMIFS(MOVIMIENTOS!$E:$E,MOVIMIENTOS!$C:$C,$A143,MOVIMIENTOS!$B:$B,"SALIDA")+SUMIFS(MOVIMIENTOS!$E:$E,MOVIMIENTOS!$C:$C,$A143,MOVIMIENTOS!$B:$B,"MERMA"),0)</f>
        <v>0</v>
      </c>
      <c r="M143" s="18">
        <f t="shared" si="11"/>
        <v>0</v>
      </c>
      <c r="N143" s="17"/>
      <c r="AO143" s="18" t="str">
        <f t="shared" si="12"/>
        <v>REPONER</v>
      </c>
      <c r="AP143" s="20">
        <f t="shared" si="13"/>
        <v>0</v>
      </c>
      <c r="AQ143" s="17"/>
      <c r="AR143" s="16"/>
    </row>
    <row r="144" spans="1:44">
      <c r="A144" s="17"/>
      <c r="B144" s="17"/>
      <c r="C144" s="17"/>
      <c r="D144" s="17"/>
      <c r="E144" s="17"/>
      <c r="F144" s="17"/>
      <c r="G144" s="17"/>
      <c r="H144" s="25"/>
      <c r="I144" s="19">
        <f t="shared" si="10"/>
        <v>0</v>
      </c>
      <c r="J144" s="17"/>
      <c r="K144" s="18">
        <f>IFERROR(SUMIFS(MOVIMIENTOS!$E:$E,MOVIMIENTOS!$C:$C,$A144,MOVIMIENTOS!$B:$B,"ENTRADA"),0)</f>
        <v>0</v>
      </c>
      <c r="L144" s="18">
        <f>IFERROR(SUMIFS(MOVIMIENTOS!$E:$E,MOVIMIENTOS!$C:$C,$A144,MOVIMIENTOS!$B:$B,"SALIDA")+SUMIFS(MOVIMIENTOS!$E:$E,MOVIMIENTOS!$C:$C,$A144,MOVIMIENTOS!$B:$B,"MERMA"),0)</f>
        <v>0</v>
      </c>
      <c r="M144" s="18">
        <f t="shared" si="11"/>
        <v>0</v>
      </c>
      <c r="N144" s="17"/>
      <c r="AO144" s="18" t="str">
        <f t="shared" si="12"/>
        <v>REPONER</v>
      </c>
      <c r="AP144" s="20">
        <f t="shared" si="13"/>
        <v>0</v>
      </c>
      <c r="AQ144" s="17"/>
      <c r="AR144" s="16"/>
    </row>
    <row r="145" spans="1:44">
      <c r="A145" s="17"/>
      <c r="B145" s="17"/>
      <c r="C145" s="17"/>
      <c r="D145" s="17"/>
      <c r="E145" s="17"/>
      <c r="F145" s="17"/>
      <c r="G145" s="17"/>
      <c r="H145" s="25"/>
      <c r="I145" s="19">
        <f t="shared" si="10"/>
        <v>0</v>
      </c>
      <c r="J145" s="17"/>
      <c r="K145" s="18">
        <f>IFERROR(SUMIFS(MOVIMIENTOS!$E:$E,MOVIMIENTOS!$C:$C,$A145,MOVIMIENTOS!$B:$B,"ENTRADA"),0)</f>
        <v>0</v>
      </c>
      <c r="L145" s="18">
        <f>IFERROR(SUMIFS(MOVIMIENTOS!$E:$E,MOVIMIENTOS!$C:$C,$A145,MOVIMIENTOS!$B:$B,"SALIDA")+SUMIFS(MOVIMIENTOS!$E:$E,MOVIMIENTOS!$C:$C,$A145,MOVIMIENTOS!$B:$B,"MERMA"),0)</f>
        <v>0</v>
      </c>
      <c r="M145" s="18">
        <f t="shared" si="11"/>
        <v>0</v>
      </c>
      <c r="N145" s="17"/>
      <c r="AO145" s="18" t="str">
        <f t="shared" si="12"/>
        <v>REPONER</v>
      </c>
      <c r="AP145" s="20">
        <f t="shared" si="13"/>
        <v>0</v>
      </c>
      <c r="AQ145" s="17"/>
      <c r="AR145" s="16"/>
    </row>
    <row r="146" spans="1:44">
      <c r="A146" s="17"/>
      <c r="B146" s="17"/>
      <c r="C146" s="17"/>
      <c r="D146" s="17"/>
      <c r="E146" s="17"/>
      <c r="F146" s="17"/>
      <c r="G146" s="17"/>
      <c r="H146" s="25"/>
      <c r="I146" s="19">
        <f t="shared" si="10"/>
        <v>0</v>
      </c>
      <c r="J146" s="17"/>
      <c r="K146" s="18">
        <f>IFERROR(SUMIFS(MOVIMIENTOS!$E:$E,MOVIMIENTOS!$C:$C,$A146,MOVIMIENTOS!$B:$B,"ENTRADA"),0)</f>
        <v>0</v>
      </c>
      <c r="L146" s="18">
        <f>IFERROR(SUMIFS(MOVIMIENTOS!$E:$E,MOVIMIENTOS!$C:$C,$A146,MOVIMIENTOS!$B:$B,"SALIDA")+SUMIFS(MOVIMIENTOS!$E:$E,MOVIMIENTOS!$C:$C,$A146,MOVIMIENTOS!$B:$B,"MERMA"),0)</f>
        <v>0</v>
      </c>
      <c r="M146" s="18">
        <f t="shared" si="11"/>
        <v>0</v>
      </c>
      <c r="N146" s="17"/>
      <c r="AO146" s="18" t="str">
        <f t="shared" si="12"/>
        <v>REPONER</v>
      </c>
      <c r="AP146" s="20">
        <f t="shared" si="13"/>
        <v>0</v>
      </c>
      <c r="AQ146" s="17"/>
      <c r="AR146" s="16"/>
    </row>
    <row r="147" spans="1:44">
      <c r="A147" s="17"/>
      <c r="B147" s="17"/>
      <c r="C147" s="17"/>
      <c r="D147" s="17"/>
      <c r="E147" s="17"/>
      <c r="F147" s="17"/>
      <c r="G147" s="17"/>
      <c r="H147" s="25"/>
      <c r="I147" s="19">
        <f t="shared" si="10"/>
        <v>0</v>
      </c>
      <c r="J147" s="17"/>
      <c r="K147" s="18">
        <f>IFERROR(SUMIFS(MOVIMIENTOS!$E:$E,MOVIMIENTOS!$C:$C,$A147,MOVIMIENTOS!$B:$B,"ENTRADA"),0)</f>
        <v>0</v>
      </c>
      <c r="L147" s="18">
        <f>IFERROR(SUMIFS(MOVIMIENTOS!$E:$E,MOVIMIENTOS!$C:$C,$A147,MOVIMIENTOS!$B:$B,"SALIDA")+SUMIFS(MOVIMIENTOS!$E:$E,MOVIMIENTOS!$C:$C,$A147,MOVIMIENTOS!$B:$B,"MERMA"),0)</f>
        <v>0</v>
      </c>
      <c r="M147" s="18">
        <f t="shared" si="11"/>
        <v>0</v>
      </c>
      <c r="N147" s="17"/>
      <c r="AO147" s="18" t="str">
        <f t="shared" si="12"/>
        <v>REPONER</v>
      </c>
      <c r="AP147" s="20">
        <f t="shared" si="13"/>
        <v>0</v>
      </c>
      <c r="AQ147" s="17"/>
      <c r="AR147" s="16"/>
    </row>
    <row r="148" spans="1:44">
      <c r="A148" s="17"/>
      <c r="B148" s="17"/>
      <c r="C148" s="17"/>
      <c r="D148" s="17"/>
      <c r="E148" s="17"/>
      <c r="F148" s="17"/>
      <c r="G148" s="17"/>
      <c r="H148" s="25"/>
      <c r="I148" s="19">
        <f t="shared" si="10"/>
        <v>0</v>
      </c>
      <c r="J148" s="17"/>
      <c r="K148" s="18">
        <f>IFERROR(SUMIFS(MOVIMIENTOS!$E:$E,MOVIMIENTOS!$C:$C,$A148,MOVIMIENTOS!$B:$B,"ENTRADA"),0)</f>
        <v>0</v>
      </c>
      <c r="L148" s="18">
        <f>IFERROR(SUMIFS(MOVIMIENTOS!$E:$E,MOVIMIENTOS!$C:$C,$A148,MOVIMIENTOS!$B:$B,"SALIDA")+SUMIFS(MOVIMIENTOS!$E:$E,MOVIMIENTOS!$C:$C,$A148,MOVIMIENTOS!$B:$B,"MERMA"),0)</f>
        <v>0</v>
      </c>
      <c r="M148" s="18">
        <f t="shared" si="11"/>
        <v>0</v>
      </c>
      <c r="N148" s="17"/>
      <c r="AO148" s="18" t="str">
        <f t="shared" si="12"/>
        <v>REPONER</v>
      </c>
      <c r="AP148" s="20">
        <f t="shared" si="13"/>
        <v>0</v>
      </c>
      <c r="AQ148" s="17"/>
      <c r="AR148" s="16"/>
    </row>
    <row r="149" spans="1:44">
      <c r="A149" s="17"/>
      <c r="B149" s="17"/>
      <c r="C149" s="17"/>
      <c r="D149" s="17"/>
      <c r="E149" s="17"/>
      <c r="F149" s="17"/>
      <c r="G149" s="17"/>
      <c r="H149" s="25"/>
      <c r="I149" s="19">
        <f t="shared" si="10"/>
        <v>0</v>
      </c>
      <c r="J149" s="17"/>
      <c r="K149" s="18">
        <f>IFERROR(SUMIFS(MOVIMIENTOS!$E:$E,MOVIMIENTOS!$C:$C,$A149,MOVIMIENTOS!$B:$B,"ENTRADA"),0)</f>
        <v>0</v>
      </c>
      <c r="L149" s="18">
        <f>IFERROR(SUMIFS(MOVIMIENTOS!$E:$E,MOVIMIENTOS!$C:$C,$A149,MOVIMIENTOS!$B:$B,"SALIDA")+SUMIFS(MOVIMIENTOS!$E:$E,MOVIMIENTOS!$C:$C,$A149,MOVIMIENTOS!$B:$B,"MERMA"),0)</f>
        <v>0</v>
      </c>
      <c r="M149" s="18">
        <f t="shared" si="11"/>
        <v>0</v>
      </c>
      <c r="N149" s="17"/>
      <c r="AO149" s="18" t="str">
        <f t="shared" si="12"/>
        <v>REPONER</v>
      </c>
      <c r="AP149" s="20">
        <f t="shared" si="13"/>
        <v>0</v>
      </c>
      <c r="AQ149" s="17"/>
      <c r="AR149" s="16"/>
    </row>
    <row r="150" spans="1:44">
      <c r="A150" s="17"/>
      <c r="B150" s="17"/>
      <c r="C150" s="17"/>
      <c r="D150" s="17"/>
      <c r="E150" s="17"/>
      <c r="F150" s="17"/>
      <c r="G150" s="17"/>
      <c r="H150" s="25"/>
      <c r="I150" s="19">
        <f t="shared" si="10"/>
        <v>0</v>
      </c>
      <c r="J150" s="17"/>
      <c r="K150" s="18">
        <f>IFERROR(SUMIFS(MOVIMIENTOS!$E:$E,MOVIMIENTOS!$C:$C,$A150,MOVIMIENTOS!$B:$B,"ENTRADA"),0)</f>
        <v>0</v>
      </c>
      <c r="L150" s="18">
        <f>IFERROR(SUMIFS(MOVIMIENTOS!$E:$E,MOVIMIENTOS!$C:$C,$A150,MOVIMIENTOS!$B:$B,"SALIDA")+SUMIFS(MOVIMIENTOS!$E:$E,MOVIMIENTOS!$C:$C,$A150,MOVIMIENTOS!$B:$B,"MERMA"),0)</f>
        <v>0</v>
      </c>
      <c r="M150" s="18">
        <f t="shared" si="11"/>
        <v>0</v>
      </c>
      <c r="N150" s="17"/>
      <c r="AO150" s="18" t="str">
        <f t="shared" si="12"/>
        <v>REPONER</v>
      </c>
      <c r="AP150" s="20">
        <f t="shared" si="13"/>
        <v>0</v>
      </c>
      <c r="AQ150" s="17"/>
      <c r="AR150" s="16"/>
    </row>
    <row r="151" spans="1:44">
      <c r="A151" s="17"/>
      <c r="B151" s="17"/>
      <c r="C151" s="17"/>
      <c r="D151" s="17"/>
      <c r="E151" s="17"/>
      <c r="F151" s="17"/>
      <c r="G151" s="17"/>
      <c r="H151" s="25"/>
      <c r="I151" s="19">
        <f t="shared" si="10"/>
        <v>0</v>
      </c>
      <c r="J151" s="17"/>
      <c r="K151" s="18">
        <f>IFERROR(SUMIFS(MOVIMIENTOS!$E:$E,MOVIMIENTOS!$C:$C,$A151,MOVIMIENTOS!$B:$B,"ENTRADA"),0)</f>
        <v>0</v>
      </c>
      <c r="L151" s="18">
        <f>IFERROR(SUMIFS(MOVIMIENTOS!$E:$E,MOVIMIENTOS!$C:$C,$A151,MOVIMIENTOS!$B:$B,"SALIDA")+SUMIFS(MOVIMIENTOS!$E:$E,MOVIMIENTOS!$C:$C,$A151,MOVIMIENTOS!$B:$B,"MERMA"),0)</f>
        <v>0</v>
      </c>
      <c r="M151" s="18">
        <f t="shared" si="11"/>
        <v>0</v>
      </c>
      <c r="N151" s="17"/>
      <c r="AO151" s="18" t="str">
        <f t="shared" si="12"/>
        <v>REPONER</v>
      </c>
      <c r="AP151" s="20">
        <f t="shared" si="13"/>
        <v>0</v>
      </c>
      <c r="AQ151" s="17"/>
      <c r="AR151" s="16"/>
    </row>
    <row r="152" spans="1:44">
      <c r="A152" s="17"/>
      <c r="B152" s="17"/>
      <c r="C152" s="17"/>
      <c r="D152" s="17"/>
      <c r="E152" s="17"/>
      <c r="F152" s="17"/>
      <c r="G152" s="17"/>
      <c r="H152" s="25"/>
      <c r="I152" s="19">
        <f t="shared" si="10"/>
        <v>0</v>
      </c>
      <c r="J152" s="17"/>
      <c r="K152" s="18">
        <f>IFERROR(SUMIFS(MOVIMIENTOS!$E:$E,MOVIMIENTOS!$C:$C,$A152,MOVIMIENTOS!$B:$B,"ENTRADA"),0)</f>
        <v>0</v>
      </c>
      <c r="L152" s="18">
        <f>IFERROR(SUMIFS(MOVIMIENTOS!$E:$E,MOVIMIENTOS!$C:$C,$A152,MOVIMIENTOS!$B:$B,"SALIDA")+SUMIFS(MOVIMIENTOS!$E:$E,MOVIMIENTOS!$C:$C,$A152,MOVIMIENTOS!$B:$B,"MERMA"),0)</f>
        <v>0</v>
      </c>
      <c r="M152" s="18">
        <f t="shared" si="11"/>
        <v>0</v>
      </c>
      <c r="N152" s="17"/>
      <c r="AO152" s="18" t="str">
        <f t="shared" si="12"/>
        <v>REPONER</v>
      </c>
      <c r="AP152" s="20">
        <f t="shared" si="13"/>
        <v>0</v>
      </c>
      <c r="AQ152" s="17"/>
      <c r="AR152" s="16"/>
    </row>
    <row r="153" spans="1:44">
      <c r="A153" s="17"/>
      <c r="B153" s="17"/>
      <c r="C153" s="17"/>
      <c r="D153" s="17"/>
      <c r="E153" s="17"/>
      <c r="F153" s="17"/>
      <c r="G153" s="17"/>
      <c r="H153" s="25"/>
      <c r="I153" s="19">
        <f t="shared" si="10"/>
        <v>0</v>
      </c>
      <c r="J153" s="17"/>
      <c r="K153" s="18">
        <f>IFERROR(SUMIFS(MOVIMIENTOS!$E:$E,MOVIMIENTOS!$C:$C,$A153,MOVIMIENTOS!$B:$B,"ENTRADA"),0)</f>
        <v>0</v>
      </c>
      <c r="L153" s="18">
        <f>IFERROR(SUMIFS(MOVIMIENTOS!$E:$E,MOVIMIENTOS!$C:$C,$A153,MOVIMIENTOS!$B:$B,"SALIDA")+SUMIFS(MOVIMIENTOS!$E:$E,MOVIMIENTOS!$C:$C,$A153,MOVIMIENTOS!$B:$B,"MERMA"),0)</f>
        <v>0</v>
      </c>
      <c r="M153" s="18">
        <f t="shared" si="11"/>
        <v>0</v>
      </c>
      <c r="N153" s="17"/>
      <c r="AO153" s="18" t="str">
        <f t="shared" si="12"/>
        <v>REPONER</v>
      </c>
      <c r="AP153" s="20">
        <f t="shared" si="13"/>
        <v>0</v>
      </c>
      <c r="AQ153" s="17"/>
      <c r="AR153" s="16"/>
    </row>
    <row r="154" spans="1:44">
      <c r="A154" s="17"/>
      <c r="B154" s="17"/>
      <c r="C154" s="17"/>
      <c r="D154" s="17"/>
      <c r="E154" s="17"/>
      <c r="F154" s="17"/>
      <c r="G154" s="17"/>
      <c r="H154" s="25"/>
      <c r="I154" s="19">
        <f t="shared" si="10"/>
        <v>0</v>
      </c>
      <c r="J154" s="17"/>
      <c r="K154" s="18">
        <f>IFERROR(SUMIFS(MOVIMIENTOS!$E:$E,MOVIMIENTOS!$C:$C,$A154,MOVIMIENTOS!$B:$B,"ENTRADA"),0)</f>
        <v>0</v>
      </c>
      <c r="L154" s="18">
        <f>IFERROR(SUMIFS(MOVIMIENTOS!$E:$E,MOVIMIENTOS!$C:$C,$A154,MOVIMIENTOS!$B:$B,"SALIDA")+SUMIFS(MOVIMIENTOS!$E:$E,MOVIMIENTOS!$C:$C,$A154,MOVIMIENTOS!$B:$B,"MERMA"),0)</f>
        <v>0</v>
      </c>
      <c r="M154" s="18">
        <f t="shared" si="11"/>
        <v>0</v>
      </c>
      <c r="N154" s="17"/>
      <c r="AO154" s="18" t="str">
        <f t="shared" si="12"/>
        <v>REPONER</v>
      </c>
      <c r="AP154" s="20">
        <f t="shared" si="13"/>
        <v>0</v>
      </c>
      <c r="AQ154" s="17"/>
      <c r="AR154" s="16"/>
    </row>
    <row r="155" spans="1:44">
      <c r="A155" s="17"/>
      <c r="B155" s="17"/>
      <c r="C155" s="17"/>
      <c r="D155" s="17"/>
      <c r="E155" s="17"/>
      <c r="F155" s="17"/>
      <c r="G155" s="17"/>
      <c r="H155" s="25"/>
      <c r="I155" s="19">
        <f t="shared" si="10"/>
        <v>0</v>
      </c>
      <c r="J155" s="17"/>
      <c r="K155" s="18">
        <f>IFERROR(SUMIFS(MOVIMIENTOS!$E:$E,MOVIMIENTOS!$C:$C,$A155,MOVIMIENTOS!$B:$B,"ENTRADA"),0)</f>
        <v>0</v>
      </c>
      <c r="L155" s="18">
        <f>IFERROR(SUMIFS(MOVIMIENTOS!$E:$E,MOVIMIENTOS!$C:$C,$A155,MOVIMIENTOS!$B:$B,"SALIDA")+SUMIFS(MOVIMIENTOS!$E:$E,MOVIMIENTOS!$C:$C,$A155,MOVIMIENTOS!$B:$B,"MERMA"),0)</f>
        <v>0</v>
      </c>
      <c r="M155" s="18">
        <f t="shared" si="11"/>
        <v>0</v>
      </c>
      <c r="N155" s="17"/>
      <c r="AO155" s="18" t="str">
        <f t="shared" si="12"/>
        <v>REPONER</v>
      </c>
      <c r="AP155" s="20">
        <f t="shared" si="13"/>
        <v>0</v>
      </c>
      <c r="AQ155" s="17"/>
      <c r="AR155" s="16"/>
    </row>
    <row r="156" spans="1:44">
      <c r="A156" s="17"/>
      <c r="B156" s="17"/>
      <c r="C156" s="17"/>
      <c r="D156" s="17"/>
      <c r="E156" s="17"/>
      <c r="F156" s="17"/>
      <c r="G156" s="17"/>
      <c r="H156" s="25"/>
      <c r="I156" s="19">
        <f t="shared" si="10"/>
        <v>0</v>
      </c>
      <c r="J156" s="17"/>
      <c r="K156" s="18">
        <f>IFERROR(SUMIFS(MOVIMIENTOS!$E:$E,MOVIMIENTOS!$C:$C,$A156,MOVIMIENTOS!$B:$B,"ENTRADA"),0)</f>
        <v>0</v>
      </c>
      <c r="L156" s="18">
        <f>IFERROR(SUMIFS(MOVIMIENTOS!$E:$E,MOVIMIENTOS!$C:$C,$A156,MOVIMIENTOS!$B:$B,"SALIDA")+SUMIFS(MOVIMIENTOS!$E:$E,MOVIMIENTOS!$C:$C,$A156,MOVIMIENTOS!$B:$B,"MERMA"),0)</f>
        <v>0</v>
      </c>
      <c r="M156" s="18">
        <f t="shared" si="11"/>
        <v>0</v>
      </c>
      <c r="N156" s="17"/>
      <c r="AO156" s="18" t="str">
        <f t="shared" si="12"/>
        <v>REPONER</v>
      </c>
      <c r="AP156" s="20">
        <f t="shared" si="13"/>
        <v>0</v>
      </c>
      <c r="AQ156" s="17"/>
      <c r="AR156" s="16"/>
    </row>
    <row r="157" spans="1:44">
      <c r="A157" s="17"/>
      <c r="B157" s="17"/>
      <c r="C157" s="17"/>
      <c r="D157" s="17"/>
      <c r="E157" s="17"/>
      <c r="F157" s="17"/>
      <c r="G157" s="17"/>
      <c r="H157" s="25"/>
      <c r="I157" s="19">
        <f t="shared" si="10"/>
        <v>0</v>
      </c>
      <c r="J157" s="17"/>
      <c r="K157" s="18">
        <f>IFERROR(SUMIFS(MOVIMIENTOS!$E:$E,MOVIMIENTOS!$C:$C,$A157,MOVIMIENTOS!$B:$B,"ENTRADA"),0)</f>
        <v>0</v>
      </c>
      <c r="L157" s="18">
        <f>IFERROR(SUMIFS(MOVIMIENTOS!$E:$E,MOVIMIENTOS!$C:$C,$A157,MOVIMIENTOS!$B:$B,"SALIDA")+SUMIFS(MOVIMIENTOS!$E:$E,MOVIMIENTOS!$C:$C,$A157,MOVIMIENTOS!$B:$B,"MERMA"),0)</f>
        <v>0</v>
      </c>
      <c r="M157" s="18">
        <f t="shared" si="11"/>
        <v>0</v>
      </c>
      <c r="N157" s="17"/>
      <c r="AO157" s="18" t="str">
        <f t="shared" si="12"/>
        <v>REPONER</v>
      </c>
      <c r="AP157" s="20">
        <f t="shared" si="13"/>
        <v>0</v>
      </c>
      <c r="AQ157" s="17"/>
      <c r="AR157" s="16"/>
    </row>
    <row r="158" spans="1:44">
      <c r="A158" s="17"/>
      <c r="B158" s="17"/>
      <c r="C158" s="17"/>
      <c r="D158" s="17"/>
      <c r="E158" s="17"/>
      <c r="F158" s="17"/>
      <c r="G158" s="17"/>
      <c r="H158" s="25"/>
      <c r="I158" s="19">
        <f t="shared" si="10"/>
        <v>0</v>
      </c>
      <c r="J158" s="17"/>
      <c r="K158" s="18">
        <f>IFERROR(SUMIFS(MOVIMIENTOS!$E:$E,MOVIMIENTOS!$C:$C,$A158,MOVIMIENTOS!$B:$B,"ENTRADA"),0)</f>
        <v>0</v>
      </c>
      <c r="L158" s="18">
        <f>IFERROR(SUMIFS(MOVIMIENTOS!$E:$E,MOVIMIENTOS!$C:$C,$A158,MOVIMIENTOS!$B:$B,"SALIDA")+SUMIFS(MOVIMIENTOS!$E:$E,MOVIMIENTOS!$C:$C,$A158,MOVIMIENTOS!$B:$B,"MERMA"),0)</f>
        <v>0</v>
      </c>
      <c r="M158" s="18">
        <f t="shared" si="11"/>
        <v>0</v>
      </c>
      <c r="N158" s="17"/>
      <c r="AO158" s="18" t="str">
        <f t="shared" si="12"/>
        <v>REPONER</v>
      </c>
      <c r="AP158" s="20">
        <f t="shared" si="13"/>
        <v>0</v>
      </c>
      <c r="AQ158" s="17"/>
      <c r="AR158" s="16"/>
    </row>
    <row r="159" spans="1:44">
      <c r="A159" s="17"/>
      <c r="B159" s="17"/>
      <c r="C159" s="17"/>
      <c r="D159" s="17"/>
      <c r="E159" s="17"/>
      <c r="F159" s="17"/>
      <c r="G159" s="17"/>
      <c r="H159" s="25"/>
      <c r="I159" s="19">
        <f t="shared" si="10"/>
        <v>0</v>
      </c>
      <c r="J159" s="17"/>
      <c r="K159" s="18">
        <f>IFERROR(SUMIFS(MOVIMIENTOS!$E:$E,MOVIMIENTOS!$C:$C,$A159,MOVIMIENTOS!$B:$B,"ENTRADA"),0)</f>
        <v>0</v>
      </c>
      <c r="L159" s="18">
        <f>IFERROR(SUMIFS(MOVIMIENTOS!$E:$E,MOVIMIENTOS!$C:$C,$A159,MOVIMIENTOS!$B:$B,"SALIDA")+SUMIFS(MOVIMIENTOS!$E:$E,MOVIMIENTOS!$C:$C,$A159,MOVIMIENTOS!$B:$B,"MERMA"),0)</f>
        <v>0</v>
      </c>
      <c r="M159" s="18">
        <f t="shared" si="11"/>
        <v>0</v>
      </c>
      <c r="N159" s="17"/>
      <c r="AO159" s="18" t="str">
        <f t="shared" si="12"/>
        <v>REPONER</v>
      </c>
      <c r="AP159" s="20">
        <f t="shared" si="13"/>
        <v>0</v>
      </c>
      <c r="AQ159" s="17"/>
      <c r="AR159" s="16"/>
    </row>
    <row r="160" spans="1:44">
      <c r="A160" s="17"/>
      <c r="B160" s="17"/>
      <c r="C160" s="17"/>
      <c r="D160" s="17"/>
      <c r="E160" s="17"/>
      <c r="F160" s="17"/>
      <c r="G160" s="17"/>
      <c r="H160" s="25"/>
      <c r="I160" s="19">
        <f t="shared" si="10"/>
        <v>0</v>
      </c>
      <c r="J160" s="17"/>
      <c r="K160" s="18">
        <f>IFERROR(SUMIFS(MOVIMIENTOS!$E:$E,MOVIMIENTOS!$C:$C,$A160,MOVIMIENTOS!$B:$B,"ENTRADA"),0)</f>
        <v>0</v>
      </c>
      <c r="L160" s="18">
        <f>IFERROR(SUMIFS(MOVIMIENTOS!$E:$E,MOVIMIENTOS!$C:$C,$A160,MOVIMIENTOS!$B:$B,"SALIDA")+SUMIFS(MOVIMIENTOS!$E:$E,MOVIMIENTOS!$C:$C,$A160,MOVIMIENTOS!$B:$B,"MERMA"),0)</f>
        <v>0</v>
      </c>
      <c r="M160" s="18">
        <f t="shared" si="11"/>
        <v>0</v>
      </c>
      <c r="N160" s="17"/>
      <c r="AO160" s="18" t="str">
        <f t="shared" si="12"/>
        <v>REPONER</v>
      </c>
      <c r="AP160" s="20">
        <f t="shared" si="13"/>
        <v>0</v>
      </c>
      <c r="AQ160" s="17"/>
      <c r="AR160" s="16"/>
    </row>
    <row r="161" spans="1:44">
      <c r="A161" s="17"/>
      <c r="B161" s="17"/>
      <c r="C161" s="17"/>
      <c r="D161" s="17"/>
      <c r="E161" s="17"/>
      <c r="F161" s="17"/>
      <c r="G161" s="17"/>
      <c r="H161" s="25"/>
      <c r="I161" s="19">
        <f t="shared" si="10"/>
        <v>0</v>
      </c>
      <c r="J161" s="17"/>
      <c r="K161" s="18">
        <f>IFERROR(SUMIFS(MOVIMIENTOS!$E:$E,MOVIMIENTOS!$C:$C,$A161,MOVIMIENTOS!$B:$B,"ENTRADA"),0)</f>
        <v>0</v>
      </c>
      <c r="L161" s="18">
        <f>IFERROR(SUMIFS(MOVIMIENTOS!$E:$E,MOVIMIENTOS!$C:$C,$A161,MOVIMIENTOS!$B:$B,"SALIDA")+SUMIFS(MOVIMIENTOS!$E:$E,MOVIMIENTOS!$C:$C,$A161,MOVIMIENTOS!$B:$B,"MERMA"),0)</f>
        <v>0</v>
      </c>
      <c r="M161" s="18">
        <f t="shared" si="11"/>
        <v>0</v>
      </c>
      <c r="N161" s="17"/>
      <c r="AO161" s="18" t="str">
        <f t="shared" si="12"/>
        <v>REPONER</v>
      </c>
      <c r="AP161" s="20">
        <f t="shared" si="13"/>
        <v>0</v>
      </c>
      <c r="AQ161" s="17"/>
      <c r="AR161" s="16"/>
    </row>
    <row r="162" spans="1:44">
      <c r="A162" s="17"/>
      <c r="B162" s="17"/>
      <c r="C162" s="17"/>
      <c r="D162" s="17"/>
      <c r="E162" s="17"/>
      <c r="F162" s="17"/>
      <c r="G162" s="17"/>
      <c r="H162" s="25"/>
      <c r="I162" s="19">
        <f t="shared" si="10"/>
        <v>0</v>
      </c>
      <c r="J162" s="17"/>
      <c r="K162" s="18">
        <f>IFERROR(SUMIFS(MOVIMIENTOS!$E:$E,MOVIMIENTOS!$C:$C,$A162,MOVIMIENTOS!$B:$B,"ENTRADA"),0)</f>
        <v>0</v>
      </c>
      <c r="L162" s="18">
        <f>IFERROR(SUMIFS(MOVIMIENTOS!$E:$E,MOVIMIENTOS!$C:$C,$A162,MOVIMIENTOS!$B:$B,"SALIDA")+SUMIFS(MOVIMIENTOS!$E:$E,MOVIMIENTOS!$C:$C,$A162,MOVIMIENTOS!$B:$B,"MERMA"),0)</f>
        <v>0</v>
      </c>
      <c r="M162" s="18">
        <f t="shared" si="11"/>
        <v>0</v>
      </c>
      <c r="N162" s="17"/>
      <c r="AO162" s="18" t="str">
        <f t="shared" si="12"/>
        <v>REPONER</v>
      </c>
      <c r="AP162" s="20">
        <f t="shared" si="13"/>
        <v>0</v>
      </c>
      <c r="AQ162" s="17"/>
      <c r="AR162" s="16"/>
    </row>
    <row r="163" spans="1:44">
      <c r="A163" s="17"/>
      <c r="B163" s="17"/>
      <c r="C163" s="17"/>
      <c r="D163" s="17"/>
      <c r="E163" s="17"/>
      <c r="F163" s="17"/>
      <c r="G163" s="17"/>
      <c r="H163" s="25"/>
      <c r="I163" s="19">
        <f t="shared" si="10"/>
        <v>0</v>
      </c>
      <c r="J163" s="17"/>
      <c r="K163" s="18">
        <f>IFERROR(SUMIFS(MOVIMIENTOS!$E:$E,MOVIMIENTOS!$C:$C,$A163,MOVIMIENTOS!$B:$B,"ENTRADA"),0)</f>
        <v>0</v>
      </c>
      <c r="L163" s="18">
        <f>IFERROR(SUMIFS(MOVIMIENTOS!$E:$E,MOVIMIENTOS!$C:$C,$A163,MOVIMIENTOS!$B:$B,"SALIDA")+SUMIFS(MOVIMIENTOS!$E:$E,MOVIMIENTOS!$C:$C,$A163,MOVIMIENTOS!$B:$B,"MERMA"),0)</f>
        <v>0</v>
      </c>
      <c r="M163" s="18">
        <f t="shared" si="11"/>
        <v>0</v>
      </c>
      <c r="N163" s="17"/>
      <c r="AO163" s="18" t="str">
        <f t="shared" si="12"/>
        <v>REPONER</v>
      </c>
      <c r="AP163" s="20">
        <f t="shared" si="13"/>
        <v>0</v>
      </c>
      <c r="AQ163" s="17"/>
      <c r="AR163" s="16"/>
    </row>
    <row r="164" spans="1:44">
      <c r="A164" s="17"/>
      <c r="B164" s="17"/>
      <c r="C164" s="17"/>
      <c r="D164" s="17"/>
      <c r="E164" s="17"/>
      <c r="F164" s="17"/>
      <c r="G164" s="17"/>
      <c r="H164" s="25"/>
      <c r="I164" s="19">
        <f t="shared" si="10"/>
        <v>0</v>
      </c>
      <c r="J164" s="17"/>
      <c r="K164" s="18">
        <f>IFERROR(SUMIFS(MOVIMIENTOS!$E:$E,MOVIMIENTOS!$C:$C,$A164,MOVIMIENTOS!$B:$B,"ENTRADA"),0)</f>
        <v>0</v>
      </c>
      <c r="L164" s="18">
        <f>IFERROR(SUMIFS(MOVIMIENTOS!$E:$E,MOVIMIENTOS!$C:$C,$A164,MOVIMIENTOS!$B:$B,"SALIDA")+SUMIFS(MOVIMIENTOS!$E:$E,MOVIMIENTOS!$C:$C,$A164,MOVIMIENTOS!$B:$B,"MERMA"),0)</f>
        <v>0</v>
      </c>
      <c r="M164" s="18">
        <f t="shared" si="11"/>
        <v>0</v>
      </c>
      <c r="N164" s="17"/>
      <c r="AO164" s="18" t="str">
        <f t="shared" si="12"/>
        <v>REPONER</v>
      </c>
      <c r="AP164" s="20">
        <f t="shared" si="13"/>
        <v>0</v>
      </c>
      <c r="AQ164" s="17"/>
      <c r="AR164" s="16"/>
    </row>
    <row r="165" spans="1:44">
      <c r="A165" s="17"/>
      <c r="B165" s="17"/>
      <c r="C165" s="17"/>
      <c r="D165" s="17"/>
      <c r="E165" s="17"/>
      <c r="F165" s="17"/>
      <c r="G165" s="17"/>
      <c r="H165" s="25"/>
      <c r="I165" s="19">
        <f t="shared" si="10"/>
        <v>0</v>
      </c>
      <c r="J165" s="17"/>
      <c r="K165" s="18">
        <f>IFERROR(SUMIFS(MOVIMIENTOS!$E:$E,MOVIMIENTOS!$C:$C,$A165,MOVIMIENTOS!$B:$B,"ENTRADA"),0)</f>
        <v>0</v>
      </c>
      <c r="L165" s="18">
        <f>IFERROR(SUMIFS(MOVIMIENTOS!$E:$E,MOVIMIENTOS!$C:$C,$A165,MOVIMIENTOS!$B:$B,"SALIDA")+SUMIFS(MOVIMIENTOS!$E:$E,MOVIMIENTOS!$C:$C,$A165,MOVIMIENTOS!$B:$B,"MERMA"),0)</f>
        <v>0</v>
      </c>
      <c r="M165" s="18">
        <f t="shared" si="11"/>
        <v>0</v>
      </c>
      <c r="N165" s="17"/>
      <c r="AO165" s="18" t="str">
        <f t="shared" si="12"/>
        <v>REPONER</v>
      </c>
      <c r="AP165" s="20">
        <f t="shared" si="13"/>
        <v>0</v>
      </c>
      <c r="AQ165" s="17"/>
      <c r="AR165" s="16"/>
    </row>
    <row r="166" spans="1:44">
      <c r="A166" s="17"/>
      <c r="B166" s="17"/>
      <c r="C166" s="17"/>
      <c r="D166" s="17"/>
      <c r="E166" s="17"/>
      <c r="F166" s="17"/>
      <c r="G166" s="17"/>
      <c r="H166" s="25"/>
      <c r="I166" s="19">
        <f t="shared" si="10"/>
        <v>0</v>
      </c>
      <c r="J166" s="17"/>
      <c r="K166" s="18">
        <f>IFERROR(SUMIFS(MOVIMIENTOS!$E:$E,MOVIMIENTOS!$C:$C,$A166,MOVIMIENTOS!$B:$B,"ENTRADA"),0)</f>
        <v>0</v>
      </c>
      <c r="L166" s="18">
        <f>IFERROR(SUMIFS(MOVIMIENTOS!$E:$E,MOVIMIENTOS!$C:$C,$A166,MOVIMIENTOS!$B:$B,"SALIDA")+SUMIFS(MOVIMIENTOS!$E:$E,MOVIMIENTOS!$C:$C,$A166,MOVIMIENTOS!$B:$B,"MERMA"),0)</f>
        <v>0</v>
      </c>
      <c r="M166" s="18">
        <f t="shared" si="11"/>
        <v>0</v>
      </c>
      <c r="N166" s="17"/>
      <c r="AO166" s="18" t="str">
        <f t="shared" si="12"/>
        <v>REPONER</v>
      </c>
      <c r="AP166" s="20">
        <f t="shared" si="13"/>
        <v>0</v>
      </c>
      <c r="AQ166" s="17"/>
      <c r="AR166" s="16"/>
    </row>
    <row r="167" spans="1:44">
      <c r="A167" s="17"/>
      <c r="B167" s="17"/>
      <c r="C167" s="17"/>
      <c r="D167" s="17"/>
      <c r="E167" s="17"/>
      <c r="F167" s="17"/>
      <c r="G167" s="17"/>
      <c r="H167" s="25"/>
      <c r="I167" s="19">
        <f t="shared" si="10"/>
        <v>0</v>
      </c>
      <c r="J167" s="17"/>
      <c r="K167" s="18">
        <f>IFERROR(SUMIFS(MOVIMIENTOS!$E:$E,MOVIMIENTOS!$C:$C,$A167,MOVIMIENTOS!$B:$B,"ENTRADA"),0)</f>
        <v>0</v>
      </c>
      <c r="L167" s="18">
        <f>IFERROR(SUMIFS(MOVIMIENTOS!$E:$E,MOVIMIENTOS!$C:$C,$A167,MOVIMIENTOS!$B:$B,"SALIDA")+SUMIFS(MOVIMIENTOS!$E:$E,MOVIMIENTOS!$C:$C,$A167,MOVIMIENTOS!$B:$B,"MERMA"),0)</f>
        <v>0</v>
      </c>
      <c r="M167" s="18">
        <f t="shared" si="11"/>
        <v>0</v>
      </c>
      <c r="N167" s="17"/>
      <c r="AO167" s="18" t="str">
        <f t="shared" si="12"/>
        <v>REPONER</v>
      </c>
      <c r="AP167" s="20">
        <f t="shared" si="13"/>
        <v>0</v>
      </c>
      <c r="AQ167" s="17"/>
      <c r="AR167" s="16"/>
    </row>
    <row r="168" spans="1:44">
      <c r="A168" s="17"/>
      <c r="B168" s="17"/>
      <c r="C168" s="17"/>
      <c r="D168" s="17"/>
      <c r="E168" s="17"/>
      <c r="F168" s="17"/>
      <c r="G168" s="17"/>
      <c r="H168" s="25"/>
      <c r="I168" s="19">
        <f t="shared" si="10"/>
        <v>0</v>
      </c>
      <c r="J168" s="17"/>
      <c r="K168" s="18">
        <f>IFERROR(SUMIFS(MOVIMIENTOS!$E:$E,MOVIMIENTOS!$C:$C,$A168,MOVIMIENTOS!$B:$B,"ENTRADA"),0)</f>
        <v>0</v>
      </c>
      <c r="L168" s="18">
        <f>IFERROR(SUMIFS(MOVIMIENTOS!$E:$E,MOVIMIENTOS!$C:$C,$A168,MOVIMIENTOS!$B:$B,"SALIDA")+SUMIFS(MOVIMIENTOS!$E:$E,MOVIMIENTOS!$C:$C,$A168,MOVIMIENTOS!$B:$B,"MERMA"),0)</f>
        <v>0</v>
      </c>
      <c r="M168" s="18">
        <f t="shared" si="11"/>
        <v>0</v>
      </c>
      <c r="N168" s="17"/>
      <c r="AO168" s="18" t="str">
        <f t="shared" si="12"/>
        <v>REPONER</v>
      </c>
      <c r="AP168" s="20">
        <f t="shared" si="13"/>
        <v>0</v>
      </c>
      <c r="AQ168" s="17"/>
      <c r="AR168" s="16"/>
    </row>
    <row r="169" spans="1:44">
      <c r="A169" s="17"/>
      <c r="B169" s="17"/>
      <c r="C169" s="17"/>
      <c r="D169" s="17"/>
      <c r="E169" s="17"/>
      <c r="F169" s="17"/>
      <c r="G169" s="17"/>
      <c r="H169" s="25"/>
      <c r="I169" s="19">
        <f t="shared" si="10"/>
        <v>0</v>
      </c>
      <c r="J169" s="17"/>
      <c r="K169" s="18">
        <f>IFERROR(SUMIFS(MOVIMIENTOS!$E:$E,MOVIMIENTOS!$C:$C,$A169,MOVIMIENTOS!$B:$B,"ENTRADA"),0)</f>
        <v>0</v>
      </c>
      <c r="L169" s="18">
        <f>IFERROR(SUMIFS(MOVIMIENTOS!$E:$E,MOVIMIENTOS!$C:$C,$A169,MOVIMIENTOS!$B:$B,"SALIDA")+SUMIFS(MOVIMIENTOS!$E:$E,MOVIMIENTOS!$C:$C,$A169,MOVIMIENTOS!$B:$B,"MERMA"),0)</f>
        <v>0</v>
      </c>
      <c r="M169" s="18">
        <f t="shared" si="11"/>
        <v>0</v>
      </c>
      <c r="N169" s="17"/>
      <c r="AO169" s="18" t="str">
        <f t="shared" si="12"/>
        <v>REPONER</v>
      </c>
      <c r="AP169" s="20">
        <f t="shared" si="13"/>
        <v>0</v>
      </c>
      <c r="AQ169" s="17"/>
      <c r="AR169" s="16"/>
    </row>
    <row r="170" spans="1:44">
      <c r="A170" s="17"/>
      <c r="B170" s="17"/>
      <c r="C170" s="17"/>
      <c r="D170" s="17"/>
      <c r="E170" s="17"/>
      <c r="F170" s="17"/>
      <c r="G170" s="17"/>
      <c r="H170" s="25"/>
      <c r="I170" s="19">
        <f t="shared" si="10"/>
        <v>0</v>
      </c>
      <c r="J170" s="17"/>
      <c r="K170" s="18">
        <f>IFERROR(SUMIFS(MOVIMIENTOS!$E:$E,MOVIMIENTOS!$C:$C,$A170,MOVIMIENTOS!$B:$B,"ENTRADA"),0)</f>
        <v>0</v>
      </c>
      <c r="L170" s="18">
        <f>IFERROR(SUMIFS(MOVIMIENTOS!$E:$E,MOVIMIENTOS!$C:$C,$A170,MOVIMIENTOS!$B:$B,"SALIDA")+SUMIFS(MOVIMIENTOS!$E:$E,MOVIMIENTOS!$C:$C,$A170,MOVIMIENTOS!$B:$B,"MERMA"),0)</f>
        <v>0</v>
      </c>
      <c r="M170" s="18">
        <f t="shared" si="11"/>
        <v>0</v>
      </c>
      <c r="N170" s="17"/>
      <c r="AO170" s="18" t="str">
        <f t="shared" si="12"/>
        <v>REPONER</v>
      </c>
      <c r="AP170" s="20">
        <f t="shared" si="13"/>
        <v>0</v>
      </c>
      <c r="AQ170" s="17"/>
      <c r="AR170" s="16"/>
    </row>
    <row r="171" spans="1:44">
      <c r="A171" s="17"/>
      <c r="B171" s="17"/>
      <c r="C171" s="17"/>
      <c r="D171" s="17"/>
      <c r="E171" s="17"/>
      <c r="F171" s="17"/>
      <c r="G171" s="17"/>
      <c r="H171" s="25"/>
      <c r="I171" s="19">
        <f t="shared" si="10"/>
        <v>0</v>
      </c>
      <c r="J171" s="17"/>
      <c r="K171" s="18">
        <f>IFERROR(SUMIFS(MOVIMIENTOS!$E:$E,MOVIMIENTOS!$C:$C,$A171,MOVIMIENTOS!$B:$B,"ENTRADA"),0)</f>
        <v>0</v>
      </c>
      <c r="L171" s="18">
        <f>IFERROR(SUMIFS(MOVIMIENTOS!$E:$E,MOVIMIENTOS!$C:$C,$A171,MOVIMIENTOS!$B:$B,"SALIDA")+SUMIFS(MOVIMIENTOS!$E:$E,MOVIMIENTOS!$C:$C,$A171,MOVIMIENTOS!$B:$B,"MERMA"),0)</f>
        <v>0</v>
      </c>
      <c r="M171" s="18">
        <f t="shared" si="11"/>
        <v>0</v>
      </c>
      <c r="N171" s="17"/>
      <c r="AO171" s="18" t="str">
        <f t="shared" si="12"/>
        <v>REPONER</v>
      </c>
      <c r="AP171" s="20">
        <f t="shared" si="13"/>
        <v>0</v>
      </c>
      <c r="AQ171" s="17"/>
      <c r="AR171" s="16"/>
    </row>
    <row r="172" spans="1:44">
      <c r="A172" s="17"/>
      <c r="B172" s="17"/>
      <c r="C172" s="17"/>
      <c r="D172" s="17"/>
      <c r="E172" s="17"/>
      <c r="F172" s="17"/>
      <c r="G172" s="17"/>
      <c r="H172" s="25"/>
      <c r="I172" s="19">
        <f t="shared" si="10"/>
        <v>0</v>
      </c>
      <c r="J172" s="17"/>
      <c r="K172" s="18">
        <f>IFERROR(SUMIFS(MOVIMIENTOS!$E:$E,MOVIMIENTOS!$C:$C,$A172,MOVIMIENTOS!$B:$B,"ENTRADA"),0)</f>
        <v>0</v>
      </c>
      <c r="L172" s="18">
        <f>IFERROR(SUMIFS(MOVIMIENTOS!$E:$E,MOVIMIENTOS!$C:$C,$A172,MOVIMIENTOS!$B:$B,"SALIDA")+SUMIFS(MOVIMIENTOS!$E:$E,MOVIMIENTOS!$C:$C,$A172,MOVIMIENTOS!$B:$B,"MERMA"),0)</f>
        <v>0</v>
      </c>
      <c r="M172" s="18">
        <f t="shared" si="11"/>
        <v>0</v>
      </c>
      <c r="N172" s="17"/>
      <c r="AO172" s="18" t="str">
        <f t="shared" si="12"/>
        <v>REPONER</v>
      </c>
      <c r="AP172" s="20">
        <f t="shared" si="13"/>
        <v>0</v>
      </c>
      <c r="AQ172" s="17"/>
      <c r="AR172" s="16"/>
    </row>
    <row r="173" spans="1:44">
      <c r="A173" s="17"/>
      <c r="B173" s="17"/>
      <c r="C173" s="17"/>
      <c r="D173" s="17"/>
      <c r="E173" s="17"/>
      <c r="F173" s="17"/>
      <c r="G173" s="17"/>
      <c r="H173" s="25"/>
      <c r="I173" s="19">
        <f t="shared" si="10"/>
        <v>0</v>
      </c>
      <c r="J173" s="17"/>
      <c r="K173" s="18">
        <f>IFERROR(SUMIFS(MOVIMIENTOS!$E:$E,MOVIMIENTOS!$C:$C,$A173,MOVIMIENTOS!$B:$B,"ENTRADA"),0)</f>
        <v>0</v>
      </c>
      <c r="L173" s="18">
        <f>IFERROR(SUMIFS(MOVIMIENTOS!$E:$E,MOVIMIENTOS!$C:$C,$A173,MOVIMIENTOS!$B:$B,"SALIDA")+SUMIFS(MOVIMIENTOS!$E:$E,MOVIMIENTOS!$C:$C,$A173,MOVIMIENTOS!$B:$B,"MERMA"),0)</f>
        <v>0</v>
      </c>
      <c r="M173" s="18">
        <f t="shared" si="11"/>
        <v>0</v>
      </c>
      <c r="N173" s="17"/>
      <c r="AO173" s="18" t="str">
        <f t="shared" si="12"/>
        <v>REPONER</v>
      </c>
      <c r="AP173" s="20">
        <f t="shared" si="13"/>
        <v>0</v>
      </c>
      <c r="AQ173" s="17"/>
      <c r="AR173" s="16"/>
    </row>
    <row r="174" spans="1:44">
      <c r="A174" s="17"/>
      <c r="B174" s="17"/>
      <c r="C174" s="17"/>
      <c r="D174" s="17"/>
      <c r="E174" s="17"/>
      <c r="F174" s="17"/>
      <c r="G174" s="17"/>
      <c r="H174" s="25"/>
      <c r="I174" s="19">
        <f t="shared" si="10"/>
        <v>0</v>
      </c>
      <c r="J174" s="17"/>
      <c r="K174" s="18">
        <f>IFERROR(SUMIFS(MOVIMIENTOS!$E:$E,MOVIMIENTOS!$C:$C,$A174,MOVIMIENTOS!$B:$B,"ENTRADA"),0)</f>
        <v>0</v>
      </c>
      <c r="L174" s="18">
        <f>IFERROR(SUMIFS(MOVIMIENTOS!$E:$E,MOVIMIENTOS!$C:$C,$A174,MOVIMIENTOS!$B:$B,"SALIDA")+SUMIFS(MOVIMIENTOS!$E:$E,MOVIMIENTOS!$C:$C,$A174,MOVIMIENTOS!$B:$B,"MERMA"),0)</f>
        <v>0</v>
      </c>
      <c r="M174" s="18">
        <f t="shared" si="11"/>
        <v>0</v>
      </c>
      <c r="N174" s="17"/>
      <c r="AO174" s="18" t="str">
        <f t="shared" si="12"/>
        <v>REPONER</v>
      </c>
      <c r="AP174" s="20">
        <f t="shared" si="13"/>
        <v>0</v>
      </c>
      <c r="AQ174" s="17"/>
      <c r="AR174" s="16"/>
    </row>
    <row r="175" spans="1:44">
      <c r="A175" s="17"/>
      <c r="B175" s="17"/>
      <c r="C175" s="17"/>
      <c r="D175" s="17"/>
      <c r="E175" s="17"/>
      <c r="F175" s="17"/>
      <c r="G175" s="17"/>
      <c r="H175" s="25"/>
      <c r="I175" s="19">
        <f t="shared" si="10"/>
        <v>0</v>
      </c>
      <c r="J175" s="17"/>
      <c r="K175" s="18">
        <f>IFERROR(SUMIFS(MOVIMIENTOS!$E:$E,MOVIMIENTOS!$C:$C,$A175,MOVIMIENTOS!$B:$B,"ENTRADA"),0)</f>
        <v>0</v>
      </c>
      <c r="L175" s="18">
        <f>IFERROR(SUMIFS(MOVIMIENTOS!$E:$E,MOVIMIENTOS!$C:$C,$A175,MOVIMIENTOS!$B:$B,"SALIDA")+SUMIFS(MOVIMIENTOS!$E:$E,MOVIMIENTOS!$C:$C,$A175,MOVIMIENTOS!$B:$B,"MERMA"),0)</f>
        <v>0</v>
      </c>
      <c r="M175" s="18">
        <f t="shared" si="11"/>
        <v>0</v>
      </c>
      <c r="N175" s="17"/>
      <c r="AO175" s="18" t="str">
        <f t="shared" si="12"/>
        <v>REPONER</v>
      </c>
      <c r="AP175" s="20">
        <f t="shared" si="13"/>
        <v>0</v>
      </c>
      <c r="AQ175" s="17"/>
      <c r="AR175" s="16"/>
    </row>
    <row r="176" spans="1:44">
      <c r="A176" s="17"/>
      <c r="B176" s="17"/>
      <c r="C176" s="17"/>
      <c r="D176" s="17"/>
      <c r="E176" s="17"/>
      <c r="F176" s="17"/>
      <c r="G176" s="17"/>
      <c r="H176" s="25"/>
      <c r="I176" s="19">
        <f t="shared" si="10"/>
        <v>0</v>
      </c>
      <c r="J176" s="17"/>
      <c r="K176" s="18">
        <f>IFERROR(SUMIFS(MOVIMIENTOS!$E:$E,MOVIMIENTOS!$C:$C,$A176,MOVIMIENTOS!$B:$B,"ENTRADA"),0)</f>
        <v>0</v>
      </c>
      <c r="L176" s="18">
        <f>IFERROR(SUMIFS(MOVIMIENTOS!$E:$E,MOVIMIENTOS!$C:$C,$A176,MOVIMIENTOS!$B:$B,"SALIDA")+SUMIFS(MOVIMIENTOS!$E:$E,MOVIMIENTOS!$C:$C,$A176,MOVIMIENTOS!$B:$B,"MERMA"),0)</f>
        <v>0</v>
      </c>
      <c r="M176" s="18">
        <f t="shared" si="11"/>
        <v>0</v>
      </c>
      <c r="N176" s="17"/>
      <c r="AO176" s="18" t="str">
        <f t="shared" si="12"/>
        <v>REPONER</v>
      </c>
      <c r="AP176" s="20">
        <f t="shared" si="13"/>
        <v>0</v>
      </c>
      <c r="AQ176" s="17"/>
      <c r="AR176" s="16"/>
    </row>
    <row r="177" spans="1:44">
      <c r="A177" s="17"/>
      <c r="B177" s="17"/>
      <c r="C177" s="17"/>
      <c r="D177" s="17"/>
      <c r="E177" s="17"/>
      <c r="F177" s="17"/>
      <c r="G177" s="17"/>
      <c r="H177" s="25"/>
      <c r="I177" s="19">
        <f t="shared" si="10"/>
        <v>0</v>
      </c>
      <c r="J177" s="17"/>
      <c r="K177" s="18">
        <f>IFERROR(SUMIFS(MOVIMIENTOS!$E:$E,MOVIMIENTOS!$C:$C,$A177,MOVIMIENTOS!$B:$B,"ENTRADA"),0)</f>
        <v>0</v>
      </c>
      <c r="L177" s="18">
        <f>IFERROR(SUMIFS(MOVIMIENTOS!$E:$E,MOVIMIENTOS!$C:$C,$A177,MOVIMIENTOS!$B:$B,"SALIDA")+SUMIFS(MOVIMIENTOS!$E:$E,MOVIMIENTOS!$C:$C,$A177,MOVIMIENTOS!$B:$B,"MERMA"),0)</f>
        <v>0</v>
      </c>
      <c r="M177" s="18">
        <f t="shared" si="11"/>
        <v>0</v>
      </c>
      <c r="N177" s="17"/>
      <c r="AO177" s="18" t="str">
        <f t="shared" si="12"/>
        <v>REPONER</v>
      </c>
      <c r="AP177" s="20">
        <f t="shared" si="13"/>
        <v>0</v>
      </c>
      <c r="AQ177" s="17"/>
      <c r="AR177" s="16"/>
    </row>
    <row r="178" spans="1:44">
      <c r="A178" s="17"/>
      <c r="B178" s="17"/>
      <c r="C178" s="17"/>
      <c r="D178" s="17"/>
      <c r="E178" s="17"/>
      <c r="F178" s="17"/>
      <c r="G178" s="17"/>
      <c r="H178" s="25"/>
      <c r="I178" s="19">
        <f t="shared" si="10"/>
        <v>0</v>
      </c>
      <c r="J178" s="17"/>
      <c r="K178" s="18">
        <f>IFERROR(SUMIFS(MOVIMIENTOS!$E:$E,MOVIMIENTOS!$C:$C,$A178,MOVIMIENTOS!$B:$B,"ENTRADA"),0)</f>
        <v>0</v>
      </c>
      <c r="L178" s="18">
        <f>IFERROR(SUMIFS(MOVIMIENTOS!$E:$E,MOVIMIENTOS!$C:$C,$A178,MOVIMIENTOS!$B:$B,"SALIDA")+SUMIFS(MOVIMIENTOS!$E:$E,MOVIMIENTOS!$C:$C,$A178,MOVIMIENTOS!$B:$B,"MERMA"),0)</f>
        <v>0</v>
      </c>
      <c r="M178" s="18">
        <f t="shared" si="11"/>
        <v>0</v>
      </c>
      <c r="N178" s="17"/>
      <c r="AO178" s="18" t="str">
        <f t="shared" si="12"/>
        <v>REPONER</v>
      </c>
      <c r="AP178" s="20">
        <f t="shared" si="13"/>
        <v>0</v>
      </c>
      <c r="AQ178" s="17"/>
      <c r="AR178" s="16"/>
    </row>
    <row r="179" spans="1:44">
      <c r="A179" s="17"/>
      <c r="B179" s="17"/>
      <c r="C179" s="17"/>
      <c r="D179" s="17"/>
      <c r="E179" s="17"/>
      <c r="F179" s="17"/>
      <c r="G179" s="17"/>
      <c r="H179" s="25"/>
      <c r="I179" s="19">
        <f t="shared" si="10"/>
        <v>0</v>
      </c>
      <c r="J179" s="17"/>
      <c r="K179" s="18">
        <f>IFERROR(SUMIFS(MOVIMIENTOS!$E:$E,MOVIMIENTOS!$C:$C,$A179,MOVIMIENTOS!$B:$B,"ENTRADA"),0)</f>
        <v>0</v>
      </c>
      <c r="L179" s="18">
        <f>IFERROR(SUMIFS(MOVIMIENTOS!$E:$E,MOVIMIENTOS!$C:$C,$A179,MOVIMIENTOS!$B:$B,"SALIDA")+SUMIFS(MOVIMIENTOS!$E:$E,MOVIMIENTOS!$C:$C,$A179,MOVIMIENTOS!$B:$B,"MERMA"),0)</f>
        <v>0</v>
      </c>
      <c r="M179" s="18">
        <f t="shared" si="11"/>
        <v>0</v>
      </c>
      <c r="N179" s="17"/>
      <c r="AO179" s="18" t="str">
        <f t="shared" si="12"/>
        <v>REPONER</v>
      </c>
      <c r="AP179" s="20">
        <f t="shared" si="13"/>
        <v>0</v>
      </c>
      <c r="AQ179" s="17"/>
      <c r="AR179" s="16"/>
    </row>
    <row r="180" spans="1:44">
      <c r="A180" s="17"/>
      <c r="B180" s="17"/>
      <c r="C180" s="17"/>
      <c r="D180" s="17"/>
      <c r="E180" s="17"/>
      <c r="F180" s="17"/>
      <c r="G180" s="17"/>
      <c r="H180" s="25"/>
      <c r="I180" s="19">
        <f t="shared" si="10"/>
        <v>0</v>
      </c>
      <c r="J180" s="17"/>
      <c r="K180" s="18">
        <f>IFERROR(SUMIFS(MOVIMIENTOS!$E:$E,MOVIMIENTOS!$C:$C,$A180,MOVIMIENTOS!$B:$B,"ENTRADA"),0)</f>
        <v>0</v>
      </c>
      <c r="L180" s="18">
        <f>IFERROR(SUMIFS(MOVIMIENTOS!$E:$E,MOVIMIENTOS!$C:$C,$A180,MOVIMIENTOS!$B:$B,"SALIDA")+SUMIFS(MOVIMIENTOS!$E:$E,MOVIMIENTOS!$C:$C,$A180,MOVIMIENTOS!$B:$B,"MERMA"),0)</f>
        <v>0</v>
      </c>
      <c r="M180" s="18">
        <f t="shared" si="11"/>
        <v>0</v>
      </c>
      <c r="N180" s="17"/>
      <c r="AO180" s="18" t="str">
        <f t="shared" si="12"/>
        <v>REPONER</v>
      </c>
      <c r="AP180" s="20">
        <f t="shared" si="13"/>
        <v>0</v>
      </c>
      <c r="AQ180" s="17"/>
      <c r="AR180" s="16"/>
    </row>
    <row r="181" spans="1:44">
      <c r="A181" s="17"/>
      <c r="B181" s="17"/>
      <c r="C181" s="17"/>
      <c r="D181" s="17"/>
      <c r="E181" s="17"/>
      <c r="F181" s="17"/>
      <c r="G181" s="17"/>
      <c r="H181" s="25"/>
      <c r="I181" s="19">
        <f t="shared" si="10"/>
        <v>0</v>
      </c>
      <c r="J181" s="17"/>
      <c r="K181" s="18">
        <f>IFERROR(SUMIFS(MOVIMIENTOS!$E:$E,MOVIMIENTOS!$C:$C,$A181,MOVIMIENTOS!$B:$B,"ENTRADA"),0)</f>
        <v>0</v>
      </c>
      <c r="L181" s="18">
        <f>IFERROR(SUMIFS(MOVIMIENTOS!$E:$E,MOVIMIENTOS!$C:$C,$A181,MOVIMIENTOS!$B:$B,"SALIDA")+SUMIFS(MOVIMIENTOS!$E:$E,MOVIMIENTOS!$C:$C,$A181,MOVIMIENTOS!$B:$B,"MERMA"),0)</f>
        <v>0</v>
      </c>
      <c r="M181" s="18">
        <f t="shared" si="11"/>
        <v>0</v>
      </c>
      <c r="N181" s="17"/>
      <c r="AO181" s="18" t="str">
        <f t="shared" si="12"/>
        <v>REPONER</v>
      </c>
      <c r="AP181" s="20">
        <f t="shared" si="13"/>
        <v>0</v>
      </c>
      <c r="AQ181" s="17"/>
      <c r="AR181" s="16"/>
    </row>
    <row r="182" spans="1:44">
      <c r="A182" s="17"/>
      <c r="B182" s="17"/>
      <c r="C182" s="17"/>
      <c r="D182" s="17"/>
      <c r="E182" s="17"/>
      <c r="F182" s="17"/>
      <c r="G182" s="17"/>
      <c r="H182" s="25"/>
      <c r="I182" s="19">
        <f t="shared" si="10"/>
        <v>0</v>
      </c>
      <c r="J182" s="17"/>
      <c r="K182" s="18">
        <f>IFERROR(SUMIFS(MOVIMIENTOS!$E:$E,MOVIMIENTOS!$C:$C,$A182,MOVIMIENTOS!$B:$B,"ENTRADA"),0)</f>
        <v>0</v>
      </c>
      <c r="L182" s="18">
        <f>IFERROR(SUMIFS(MOVIMIENTOS!$E:$E,MOVIMIENTOS!$C:$C,$A182,MOVIMIENTOS!$B:$B,"SALIDA")+SUMIFS(MOVIMIENTOS!$E:$E,MOVIMIENTOS!$C:$C,$A182,MOVIMIENTOS!$B:$B,"MERMA"),0)</f>
        <v>0</v>
      </c>
      <c r="M182" s="18">
        <f t="shared" si="11"/>
        <v>0</v>
      </c>
      <c r="N182" s="17"/>
      <c r="AO182" s="18" t="str">
        <f t="shared" si="12"/>
        <v>REPONER</v>
      </c>
      <c r="AP182" s="20">
        <f t="shared" si="13"/>
        <v>0</v>
      </c>
      <c r="AQ182" s="17"/>
      <c r="AR182" s="16"/>
    </row>
    <row r="183" spans="1:44">
      <c r="A183" s="17"/>
      <c r="B183" s="17"/>
      <c r="C183" s="17"/>
      <c r="D183" s="17"/>
      <c r="E183" s="17"/>
      <c r="F183" s="17"/>
      <c r="G183" s="17"/>
      <c r="H183" s="25"/>
      <c r="I183" s="19">
        <f t="shared" si="10"/>
        <v>0</v>
      </c>
      <c r="J183" s="17"/>
      <c r="K183" s="18">
        <f>IFERROR(SUMIFS(MOVIMIENTOS!$E:$E,MOVIMIENTOS!$C:$C,$A183,MOVIMIENTOS!$B:$B,"ENTRADA"),0)</f>
        <v>0</v>
      </c>
      <c r="L183" s="18">
        <f>IFERROR(SUMIFS(MOVIMIENTOS!$E:$E,MOVIMIENTOS!$C:$C,$A183,MOVIMIENTOS!$B:$B,"SALIDA")+SUMIFS(MOVIMIENTOS!$E:$E,MOVIMIENTOS!$C:$C,$A183,MOVIMIENTOS!$B:$B,"MERMA"),0)</f>
        <v>0</v>
      </c>
      <c r="M183" s="18">
        <f t="shared" si="11"/>
        <v>0</v>
      </c>
      <c r="N183" s="17"/>
      <c r="AO183" s="18" t="str">
        <f t="shared" si="12"/>
        <v>REPONER</v>
      </c>
      <c r="AP183" s="20">
        <f t="shared" si="13"/>
        <v>0</v>
      </c>
      <c r="AQ183" s="17"/>
      <c r="AR183" s="16"/>
    </row>
    <row r="184" spans="1:44">
      <c r="A184" s="17"/>
      <c r="B184" s="17"/>
      <c r="C184" s="17"/>
      <c r="D184" s="17"/>
      <c r="E184" s="17"/>
      <c r="F184" s="17"/>
      <c r="G184" s="17"/>
      <c r="H184" s="25"/>
      <c r="I184" s="19">
        <f t="shared" si="10"/>
        <v>0</v>
      </c>
      <c r="J184" s="17"/>
      <c r="K184" s="18">
        <f>IFERROR(SUMIFS(MOVIMIENTOS!$E:$E,MOVIMIENTOS!$C:$C,$A184,MOVIMIENTOS!$B:$B,"ENTRADA"),0)</f>
        <v>0</v>
      </c>
      <c r="L184" s="18">
        <f>IFERROR(SUMIFS(MOVIMIENTOS!$E:$E,MOVIMIENTOS!$C:$C,$A184,MOVIMIENTOS!$B:$B,"SALIDA")+SUMIFS(MOVIMIENTOS!$E:$E,MOVIMIENTOS!$C:$C,$A184,MOVIMIENTOS!$B:$B,"MERMA"),0)</f>
        <v>0</v>
      </c>
      <c r="M184" s="18">
        <f t="shared" si="11"/>
        <v>0</v>
      </c>
      <c r="N184" s="17"/>
      <c r="AO184" s="18" t="str">
        <f t="shared" si="12"/>
        <v>REPONER</v>
      </c>
      <c r="AP184" s="20">
        <f t="shared" si="13"/>
        <v>0</v>
      </c>
      <c r="AQ184" s="17"/>
      <c r="AR184" s="16"/>
    </row>
    <row r="185" spans="1:44">
      <c r="A185" s="17"/>
      <c r="B185" s="17"/>
      <c r="C185" s="17"/>
      <c r="D185" s="17"/>
      <c r="E185" s="17"/>
      <c r="F185" s="17"/>
      <c r="G185" s="17"/>
      <c r="H185" s="25"/>
      <c r="I185" s="19">
        <f t="shared" si="10"/>
        <v>0</v>
      </c>
      <c r="J185" s="17"/>
      <c r="K185" s="18">
        <f>IFERROR(SUMIFS(MOVIMIENTOS!$E:$E,MOVIMIENTOS!$C:$C,$A185,MOVIMIENTOS!$B:$B,"ENTRADA"),0)</f>
        <v>0</v>
      </c>
      <c r="L185" s="18">
        <f>IFERROR(SUMIFS(MOVIMIENTOS!$E:$E,MOVIMIENTOS!$C:$C,$A185,MOVIMIENTOS!$B:$B,"SALIDA")+SUMIFS(MOVIMIENTOS!$E:$E,MOVIMIENTOS!$C:$C,$A185,MOVIMIENTOS!$B:$B,"MERMA"),0)</f>
        <v>0</v>
      </c>
      <c r="M185" s="18">
        <f t="shared" si="11"/>
        <v>0</v>
      </c>
      <c r="N185" s="17"/>
      <c r="AO185" s="18" t="str">
        <f t="shared" si="12"/>
        <v>REPONER</v>
      </c>
      <c r="AP185" s="20">
        <f t="shared" si="13"/>
        <v>0</v>
      </c>
      <c r="AQ185" s="17"/>
      <c r="AR185" s="16"/>
    </row>
    <row r="186" spans="1:44">
      <c r="A186" s="17"/>
      <c r="B186" s="17"/>
      <c r="C186" s="17"/>
      <c r="D186" s="17"/>
      <c r="E186" s="17"/>
      <c r="F186" s="17"/>
      <c r="G186" s="17"/>
      <c r="H186" s="25"/>
      <c r="I186" s="19">
        <f t="shared" si="10"/>
        <v>0</v>
      </c>
      <c r="J186" s="17"/>
      <c r="K186" s="18">
        <f>IFERROR(SUMIFS(MOVIMIENTOS!$E:$E,MOVIMIENTOS!$C:$C,$A186,MOVIMIENTOS!$B:$B,"ENTRADA"),0)</f>
        <v>0</v>
      </c>
      <c r="L186" s="18">
        <f>IFERROR(SUMIFS(MOVIMIENTOS!$E:$E,MOVIMIENTOS!$C:$C,$A186,MOVIMIENTOS!$B:$B,"SALIDA")+SUMIFS(MOVIMIENTOS!$E:$E,MOVIMIENTOS!$C:$C,$A186,MOVIMIENTOS!$B:$B,"MERMA"),0)</f>
        <v>0</v>
      </c>
      <c r="M186" s="18">
        <f t="shared" si="11"/>
        <v>0</v>
      </c>
      <c r="N186" s="17"/>
      <c r="AO186" s="18" t="str">
        <f t="shared" si="12"/>
        <v>REPONER</v>
      </c>
      <c r="AP186" s="20">
        <f t="shared" si="13"/>
        <v>0</v>
      </c>
      <c r="AQ186" s="17"/>
      <c r="AR186" s="16"/>
    </row>
    <row r="187" spans="1:44">
      <c r="A187" s="17"/>
      <c r="B187" s="17"/>
      <c r="C187" s="17"/>
      <c r="D187" s="17"/>
      <c r="E187" s="17"/>
      <c r="F187" s="17"/>
      <c r="G187" s="17"/>
      <c r="H187" s="25"/>
      <c r="I187" s="19">
        <f t="shared" si="10"/>
        <v>0</v>
      </c>
      <c r="J187" s="17"/>
      <c r="K187" s="18">
        <f>IFERROR(SUMIFS(MOVIMIENTOS!$E:$E,MOVIMIENTOS!$C:$C,$A187,MOVIMIENTOS!$B:$B,"ENTRADA"),0)</f>
        <v>0</v>
      </c>
      <c r="L187" s="18">
        <f>IFERROR(SUMIFS(MOVIMIENTOS!$E:$E,MOVIMIENTOS!$C:$C,$A187,MOVIMIENTOS!$B:$B,"SALIDA")+SUMIFS(MOVIMIENTOS!$E:$E,MOVIMIENTOS!$C:$C,$A187,MOVIMIENTOS!$B:$B,"MERMA"),0)</f>
        <v>0</v>
      </c>
      <c r="M187" s="18">
        <f t="shared" si="11"/>
        <v>0</v>
      </c>
      <c r="N187" s="17"/>
      <c r="AO187" s="18" t="str">
        <f t="shared" si="12"/>
        <v>REPONER</v>
      </c>
      <c r="AP187" s="20">
        <f t="shared" si="13"/>
        <v>0</v>
      </c>
      <c r="AQ187" s="17"/>
      <c r="AR187" s="16"/>
    </row>
    <row r="188" spans="1:44">
      <c r="A188" s="17"/>
      <c r="B188" s="17"/>
      <c r="C188" s="17"/>
      <c r="D188" s="17"/>
      <c r="E188" s="17"/>
      <c r="F188" s="17"/>
      <c r="G188" s="17"/>
      <c r="H188" s="25"/>
      <c r="I188" s="19">
        <f t="shared" si="10"/>
        <v>0</v>
      </c>
      <c r="J188" s="17"/>
      <c r="K188" s="18">
        <f>IFERROR(SUMIFS(MOVIMIENTOS!$E:$E,MOVIMIENTOS!$C:$C,$A188,MOVIMIENTOS!$B:$B,"ENTRADA"),0)</f>
        <v>0</v>
      </c>
      <c r="L188" s="18">
        <f>IFERROR(SUMIFS(MOVIMIENTOS!$E:$E,MOVIMIENTOS!$C:$C,$A188,MOVIMIENTOS!$B:$B,"SALIDA")+SUMIFS(MOVIMIENTOS!$E:$E,MOVIMIENTOS!$C:$C,$A188,MOVIMIENTOS!$B:$B,"MERMA"),0)</f>
        <v>0</v>
      </c>
      <c r="M188" s="18">
        <f t="shared" si="11"/>
        <v>0</v>
      </c>
      <c r="N188" s="17"/>
      <c r="AO188" s="18" t="str">
        <f t="shared" si="12"/>
        <v>REPONER</v>
      </c>
      <c r="AP188" s="20">
        <f t="shared" si="13"/>
        <v>0</v>
      </c>
      <c r="AQ188" s="17"/>
      <c r="AR188" s="16"/>
    </row>
    <row r="189" spans="1:44">
      <c r="A189" s="17"/>
      <c r="B189" s="17"/>
      <c r="C189" s="17"/>
      <c r="D189" s="17"/>
      <c r="E189" s="17"/>
      <c r="F189" s="17"/>
      <c r="G189" s="17"/>
      <c r="H189" s="25"/>
      <c r="I189" s="19">
        <f t="shared" si="10"/>
        <v>0</v>
      </c>
      <c r="J189" s="17"/>
      <c r="K189" s="18">
        <f>IFERROR(SUMIFS(MOVIMIENTOS!$E:$E,MOVIMIENTOS!$C:$C,$A189,MOVIMIENTOS!$B:$B,"ENTRADA"),0)</f>
        <v>0</v>
      </c>
      <c r="L189" s="18">
        <f>IFERROR(SUMIFS(MOVIMIENTOS!$E:$E,MOVIMIENTOS!$C:$C,$A189,MOVIMIENTOS!$B:$B,"SALIDA")+SUMIFS(MOVIMIENTOS!$E:$E,MOVIMIENTOS!$C:$C,$A189,MOVIMIENTOS!$B:$B,"MERMA"),0)</f>
        <v>0</v>
      </c>
      <c r="M189" s="18">
        <f t="shared" si="11"/>
        <v>0</v>
      </c>
      <c r="N189" s="17"/>
      <c r="AO189" s="18" t="str">
        <f t="shared" si="12"/>
        <v>REPONER</v>
      </c>
      <c r="AP189" s="20">
        <f t="shared" si="13"/>
        <v>0</v>
      </c>
      <c r="AQ189" s="17"/>
      <c r="AR189" s="16"/>
    </row>
    <row r="190" spans="1:44">
      <c r="A190" s="17"/>
      <c r="B190" s="17"/>
      <c r="C190" s="17"/>
      <c r="D190" s="17"/>
      <c r="E190" s="17"/>
      <c r="F190" s="17"/>
      <c r="G190" s="17"/>
      <c r="H190" s="25"/>
      <c r="I190" s="19">
        <f t="shared" si="10"/>
        <v>0</v>
      </c>
      <c r="J190" s="17"/>
      <c r="K190" s="18">
        <f>IFERROR(SUMIFS(MOVIMIENTOS!$E:$E,MOVIMIENTOS!$C:$C,$A190,MOVIMIENTOS!$B:$B,"ENTRADA"),0)</f>
        <v>0</v>
      </c>
      <c r="L190" s="18">
        <f>IFERROR(SUMIFS(MOVIMIENTOS!$E:$E,MOVIMIENTOS!$C:$C,$A190,MOVIMIENTOS!$B:$B,"SALIDA")+SUMIFS(MOVIMIENTOS!$E:$E,MOVIMIENTOS!$C:$C,$A190,MOVIMIENTOS!$B:$B,"MERMA"),0)</f>
        <v>0</v>
      </c>
      <c r="M190" s="18">
        <f t="shared" si="11"/>
        <v>0</v>
      </c>
      <c r="N190" s="17"/>
      <c r="AO190" s="18" t="str">
        <f t="shared" si="12"/>
        <v>REPONER</v>
      </c>
      <c r="AP190" s="20">
        <f t="shared" si="13"/>
        <v>0</v>
      </c>
      <c r="AQ190" s="17"/>
      <c r="AR190" s="16"/>
    </row>
    <row r="191" spans="1:44">
      <c r="A191" s="17"/>
      <c r="B191" s="17"/>
      <c r="C191" s="17"/>
      <c r="D191" s="17"/>
      <c r="E191" s="17"/>
      <c r="F191" s="17"/>
      <c r="G191" s="17"/>
      <c r="H191" s="25"/>
      <c r="I191" s="19">
        <f t="shared" si="10"/>
        <v>0</v>
      </c>
      <c r="J191" s="17"/>
      <c r="K191" s="18">
        <f>IFERROR(SUMIFS(MOVIMIENTOS!$E:$E,MOVIMIENTOS!$C:$C,$A191,MOVIMIENTOS!$B:$B,"ENTRADA"),0)</f>
        <v>0</v>
      </c>
      <c r="L191" s="18">
        <f>IFERROR(SUMIFS(MOVIMIENTOS!$E:$E,MOVIMIENTOS!$C:$C,$A191,MOVIMIENTOS!$B:$B,"SALIDA")+SUMIFS(MOVIMIENTOS!$E:$E,MOVIMIENTOS!$C:$C,$A191,MOVIMIENTOS!$B:$B,"MERMA"),0)</f>
        <v>0</v>
      </c>
      <c r="M191" s="18">
        <f t="shared" si="11"/>
        <v>0</v>
      </c>
      <c r="N191" s="17"/>
      <c r="AO191" s="18" t="str">
        <f t="shared" si="12"/>
        <v>REPONER</v>
      </c>
      <c r="AP191" s="20">
        <f t="shared" si="13"/>
        <v>0</v>
      </c>
      <c r="AQ191" s="17"/>
      <c r="AR191" s="16"/>
    </row>
    <row r="192" spans="1:44">
      <c r="A192" s="17"/>
      <c r="B192" s="17"/>
      <c r="C192" s="17"/>
      <c r="D192" s="17"/>
      <c r="E192" s="17"/>
      <c r="F192" s="17"/>
      <c r="G192" s="17"/>
      <c r="H192" s="25"/>
      <c r="I192" s="19">
        <f t="shared" si="10"/>
        <v>0</v>
      </c>
      <c r="J192" s="17"/>
      <c r="K192" s="18">
        <f>IFERROR(SUMIFS(MOVIMIENTOS!$E:$E,MOVIMIENTOS!$C:$C,$A192,MOVIMIENTOS!$B:$B,"ENTRADA"),0)</f>
        <v>0</v>
      </c>
      <c r="L192" s="18">
        <f>IFERROR(SUMIFS(MOVIMIENTOS!$E:$E,MOVIMIENTOS!$C:$C,$A192,MOVIMIENTOS!$B:$B,"SALIDA")+SUMIFS(MOVIMIENTOS!$E:$E,MOVIMIENTOS!$C:$C,$A192,MOVIMIENTOS!$B:$B,"MERMA"),0)</f>
        <v>0</v>
      </c>
      <c r="M192" s="18">
        <f t="shared" si="11"/>
        <v>0</v>
      </c>
      <c r="N192" s="17"/>
      <c r="AO192" s="18" t="str">
        <f t="shared" si="12"/>
        <v>REPONER</v>
      </c>
      <c r="AP192" s="20">
        <f t="shared" si="13"/>
        <v>0</v>
      </c>
      <c r="AQ192" s="17"/>
      <c r="AR192" s="16"/>
    </row>
    <row r="193" spans="1:44">
      <c r="A193" s="17"/>
      <c r="B193" s="17"/>
      <c r="C193" s="17"/>
      <c r="D193" s="17"/>
      <c r="E193" s="17"/>
      <c r="F193" s="17"/>
      <c r="G193" s="17"/>
      <c r="H193" s="25"/>
      <c r="I193" s="19">
        <f t="shared" si="10"/>
        <v>0</v>
      </c>
      <c r="J193" s="17"/>
      <c r="K193" s="18">
        <f>IFERROR(SUMIFS(MOVIMIENTOS!$E:$E,MOVIMIENTOS!$C:$C,$A193,MOVIMIENTOS!$B:$B,"ENTRADA"),0)</f>
        <v>0</v>
      </c>
      <c r="L193" s="18">
        <f>IFERROR(SUMIFS(MOVIMIENTOS!$E:$E,MOVIMIENTOS!$C:$C,$A193,MOVIMIENTOS!$B:$B,"SALIDA")+SUMIFS(MOVIMIENTOS!$E:$E,MOVIMIENTOS!$C:$C,$A193,MOVIMIENTOS!$B:$B,"MERMA"),0)</f>
        <v>0</v>
      </c>
      <c r="M193" s="18">
        <f t="shared" si="11"/>
        <v>0</v>
      </c>
      <c r="N193" s="17"/>
      <c r="AO193" s="18" t="str">
        <f t="shared" si="12"/>
        <v>REPONER</v>
      </c>
      <c r="AP193" s="20">
        <f t="shared" si="13"/>
        <v>0</v>
      </c>
      <c r="AQ193" s="17"/>
      <c r="AR193" s="16"/>
    </row>
    <row r="194" spans="1:44">
      <c r="A194" s="17"/>
      <c r="B194" s="17"/>
      <c r="C194" s="17"/>
      <c r="D194" s="17"/>
      <c r="E194" s="17"/>
      <c r="F194" s="17"/>
      <c r="G194" s="17"/>
      <c r="H194" s="25"/>
      <c r="I194" s="19">
        <f t="shared" si="10"/>
        <v>0</v>
      </c>
      <c r="J194" s="17"/>
      <c r="K194" s="18">
        <f>IFERROR(SUMIFS(MOVIMIENTOS!$E:$E,MOVIMIENTOS!$C:$C,$A194,MOVIMIENTOS!$B:$B,"ENTRADA"),0)</f>
        <v>0</v>
      </c>
      <c r="L194" s="18">
        <f>IFERROR(SUMIFS(MOVIMIENTOS!$E:$E,MOVIMIENTOS!$C:$C,$A194,MOVIMIENTOS!$B:$B,"SALIDA")+SUMIFS(MOVIMIENTOS!$E:$E,MOVIMIENTOS!$C:$C,$A194,MOVIMIENTOS!$B:$B,"MERMA"),0)</f>
        <v>0</v>
      </c>
      <c r="M194" s="18">
        <f t="shared" si="11"/>
        <v>0</v>
      </c>
      <c r="N194" s="17"/>
      <c r="AO194" s="18" t="str">
        <f t="shared" si="12"/>
        <v>REPONER</v>
      </c>
      <c r="AP194" s="20">
        <f t="shared" si="13"/>
        <v>0</v>
      </c>
      <c r="AQ194" s="17"/>
      <c r="AR194" s="16"/>
    </row>
    <row r="195" spans="1:44">
      <c r="A195" s="17"/>
      <c r="B195" s="17"/>
      <c r="C195" s="17"/>
      <c r="D195" s="17"/>
      <c r="E195" s="17"/>
      <c r="F195" s="17"/>
      <c r="G195" s="17"/>
      <c r="H195" s="25"/>
      <c r="I195" s="19">
        <f t="shared" si="10"/>
        <v>0</v>
      </c>
      <c r="J195" s="17"/>
      <c r="K195" s="18">
        <f>IFERROR(SUMIFS(MOVIMIENTOS!$E:$E,MOVIMIENTOS!$C:$C,$A195,MOVIMIENTOS!$B:$B,"ENTRADA"),0)</f>
        <v>0</v>
      </c>
      <c r="L195" s="18">
        <f>IFERROR(SUMIFS(MOVIMIENTOS!$E:$E,MOVIMIENTOS!$C:$C,$A195,MOVIMIENTOS!$B:$B,"SALIDA")+SUMIFS(MOVIMIENTOS!$E:$E,MOVIMIENTOS!$C:$C,$A195,MOVIMIENTOS!$B:$B,"MERMA"),0)</f>
        <v>0</v>
      </c>
      <c r="M195" s="18">
        <f t="shared" si="11"/>
        <v>0</v>
      </c>
      <c r="N195" s="17"/>
      <c r="AO195" s="18" t="str">
        <f t="shared" si="12"/>
        <v>REPONER</v>
      </c>
      <c r="AP195" s="20">
        <f t="shared" si="13"/>
        <v>0</v>
      </c>
      <c r="AQ195" s="17"/>
      <c r="AR195" s="16"/>
    </row>
    <row r="196" spans="1:44">
      <c r="A196" s="17"/>
      <c r="B196" s="17"/>
      <c r="C196" s="17"/>
      <c r="D196" s="17"/>
      <c r="E196" s="17"/>
      <c r="F196" s="17"/>
      <c r="G196" s="17"/>
      <c r="H196" s="25"/>
      <c r="I196" s="19">
        <f t="shared" si="10"/>
        <v>0</v>
      </c>
      <c r="J196" s="17"/>
      <c r="K196" s="18">
        <f>IFERROR(SUMIFS(MOVIMIENTOS!$E:$E,MOVIMIENTOS!$C:$C,$A196,MOVIMIENTOS!$B:$B,"ENTRADA"),0)</f>
        <v>0</v>
      </c>
      <c r="L196" s="18">
        <f>IFERROR(SUMIFS(MOVIMIENTOS!$E:$E,MOVIMIENTOS!$C:$C,$A196,MOVIMIENTOS!$B:$B,"SALIDA")+SUMIFS(MOVIMIENTOS!$E:$E,MOVIMIENTOS!$C:$C,$A196,MOVIMIENTOS!$B:$B,"MERMA"),0)</f>
        <v>0</v>
      </c>
      <c r="M196" s="18">
        <f t="shared" si="11"/>
        <v>0</v>
      </c>
      <c r="N196" s="17"/>
      <c r="AO196" s="18" t="str">
        <f t="shared" si="12"/>
        <v>REPONER</v>
      </c>
      <c r="AP196" s="20">
        <f t="shared" si="13"/>
        <v>0</v>
      </c>
      <c r="AQ196" s="17"/>
      <c r="AR196" s="16"/>
    </row>
    <row r="197" spans="1:44">
      <c r="A197" s="17"/>
      <c r="B197" s="17"/>
      <c r="C197" s="17"/>
      <c r="D197" s="17"/>
      <c r="E197" s="17"/>
      <c r="F197" s="17"/>
      <c r="G197" s="17"/>
      <c r="H197" s="25"/>
      <c r="I197" s="19">
        <f t="shared" ref="I197:I260" si="14">IFERROR(H197/(G197*E197),0)</f>
        <v>0</v>
      </c>
      <c r="J197" s="17"/>
      <c r="K197" s="18">
        <f>IFERROR(SUMIFS(MOVIMIENTOS!$E:$E,MOVIMIENTOS!$C:$C,$A197,MOVIMIENTOS!$B:$B,"ENTRADA"),0)</f>
        <v>0</v>
      </c>
      <c r="L197" s="18">
        <f>IFERROR(SUMIFS(MOVIMIENTOS!$E:$E,MOVIMIENTOS!$C:$C,$A197,MOVIMIENTOS!$B:$B,"SALIDA")+SUMIFS(MOVIMIENTOS!$E:$E,MOVIMIENTOS!$C:$C,$A197,MOVIMIENTOS!$B:$B,"MERMA"),0)</f>
        <v>0</v>
      </c>
      <c r="M197" s="18">
        <f t="shared" ref="M197:M260" si="15">IFERROR(J197+K197-L197,0)</f>
        <v>0</v>
      </c>
      <c r="N197" s="17"/>
      <c r="AO197" s="18" t="str">
        <f t="shared" ref="AO197:AO260" si="16">IF(M197&lt;=N197,"REPONER","OK")</f>
        <v>REPONER</v>
      </c>
      <c r="AP197" s="20">
        <f t="shared" ref="AP197:AP260" si="17">IFERROR(M197*I197,0)</f>
        <v>0</v>
      </c>
      <c r="AQ197" s="17"/>
      <c r="AR197" s="16"/>
    </row>
    <row r="198" spans="1:44">
      <c r="A198" s="17"/>
      <c r="B198" s="17"/>
      <c r="C198" s="17"/>
      <c r="D198" s="17"/>
      <c r="E198" s="17"/>
      <c r="F198" s="17"/>
      <c r="G198" s="17"/>
      <c r="H198" s="25"/>
      <c r="I198" s="19">
        <f t="shared" si="14"/>
        <v>0</v>
      </c>
      <c r="J198" s="17"/>
      <c r="K198" s="18">
        <f>IFERROR(SUMIFS(MOVIMIENTOS!$E:$E,MOVIMIENTOS!$C:$C,$A198,MOVIMIENTOS!$B:$B,"ENTRADA"),0)</f>
        <v>0</v>
      </c>
      <c r="L198" s="18">
        <f>IFERROR(SUMIFS(MOVIMIENTOS!$E:$E,MOVIMIENTOS!$C:$C,$A198,MOVIMIENTOS!$B:$B,"SALIDA")+SUMIFS(MOVIMIENTOS!$E:$E,MOVIMIENTOS!$C:$C,$A198,MOVIMIENTOS!$B:$B,"MERMA"),0)</f>
        <v>0</v>
      </c>
      <c r="M198" s="18">
        <f t="shared" si="15"/>
        <v>0</v>
      </c>
      <c r="N198" s="17"/>
      <c r="AO198" s="18" t="str">
        <f t="shared" si="16"/>
        <v>REPONER</v>
      </c>
      <c r="AP198" s="20">
        <f t="shared" si="17"/>
        <v>0</v>
      </c>
      <c r="AQ198" s="17"/>
      <c r="AR198" s="16"/>
    </row>
    <row r="199" spans="1:44">
      <c r="A199" s="17"/>
      <c r="B199" s="17"/>
      <c r="C199" s="17"/>
      <c r="D199" s="17"/>
      <c r="E199" s="17"/>
      <c r="F199" s="17"/>
      <c r="G199" s="17"/>
      <c r="H199" s="25"/>
      <c r="I199" s="19">
        <f t="shared" si="14"/>
        <v>0</v>
      </c>
      <c r="J199" s="17"/>
      <c r="K199" s="18">
        <f>IFERROR(SUMIFS(MOVIMIENTOS!$E:$E,MOVIMIENTOS!$C:$C,$A199,MOVIMIENTOS!$B:$B,"ENTRADA"),0)</f>
        <v>0</v>
      </c>
      <c r="L199" s="18">
        <f>IFERROR(SUMIFS(MOVIMIENTOS!$E:$E,MOVIMIENTOS!$C:$C,$A199,MOVIMIENTOS!$B:$B,"SALIDA")+SUMIFS(MOVIMIENTOS!$E:$E,MOVIMIENTOS!$C:$C,$A199,MOVIMIENTOS!$B:$B,"MERMA"),0)</f>
        <v>0</v>
      </c>
      <c r="M199" s="18">
        <f t="shared" si="15"/>
        <v>0</v>
      </c>
      <c r="N199" s="17"/>
      <c r="AO199" s="18" t="str">
        <f t="shared" si="16"/>
        <v>REPONER</v>
      </c>
      <c r="AP199" s="20">
        <f t="shared" si="17"/>
        <v>0</v>
      </c>
      <c r="AQ199" s="17"/>
      <c r="AR199" s="16"/>
    </row>
    <row r="200" spans="1:44">
      <c r="A200" s="17"/>
      <c r="B200" s="17"/>
      <c r="C200" s="17"/>
      <c r="D200" s="17"/>
      <c r="E200" s="17"/>
      <c r="F200" s="17"/>
      <c r="G200" s="17"/>
      <c r="H200" s="25"/>
      <c r="I200" s="19">
        <f t="shared" si="14"/>
        <v>0</v>
      </c>
      <c r="J200" s="17"/>
      <c r="K200" s="18">
        <f>IFERROR(SUMIFS(MOVIMIENTOS!$E:$E,MOVIMIENTOS!$C:$C,$A200,MOVIMIENTOS!$B:$B,"ENTRADA"),0)</f>
        <v>0</v>
      </c>
      <c r="L200" s="18">
        <f>IFERROR(SUMIFS(MOVIMIENTOS!$E:$E,MOVIMIENTOS!$C:$C,$A200,MOVIMIENTOS!$B:$B,"SALIDA")+SUMIFS(MOVIMIENTOS!$E:$E,MOVIMIENTOS!$C:$C,$A200,MOVIMIENTOS!$B:$B,"MERMA"),0)</f>
        <v>0</v>
      </c>
      <c r="M200" s="18">
        <f t="shared" si="15"/>
        <v>0</v>
      </c>
      <c r="N200" s="17"/>
      <c r="AO200" s="18" t="str">
        <f t="shared" si="16"/>
        <v>REPONER</v>
      </c>
      <c r="AP200" s="20">
        <f t="shared" si="17"/>
        <v>0</v>
      </c>
      <c r="AQ200" s="17"/>
      <c r="AR200" s="16"/>
    </row>
    <row r="201" spans="1:44">
      <c r="A201" s="17"/>
      <c r="B201" s="17"/>
      <c r="C201" s="17"/>
      <c r="D201" s="17"/>
      <c r="E201" s="17"/>
      <c r="F201" s="17"/>
      <c r="G201" s="17"/>
      <c r="H201" s="25"/>
      <c r="I201" s="19">
        <f t="shared" si="14"/>
        <v>0</v>
      </c>
      <c r="J201" s="17"/>
      <c r="K201" s="18">
        <f>IFERROR(SUMIFS(MOVIMIENTOS!$E:$E,MOVIMIENTOS!$C:$C,$A201,MOVIMIENTOS!$B:$B,"ENTRADA"),0)</f>
        <v>0</v>
      </c>
      <c r="L201" s="18">
        <f>IFERROR(SUMIFS(MOVIMIENTOS!$E:$E,MOVIMIENTOS!$C:$C,$A201,MOVIMIENTOS!$B:$B,"SALIDA")+SUMIFS(MOVIMIENTOS!$E:$E,MOVIMIENTOS!$C:$C,$A201,MOVIMIENTOS!$B:$B,"MERMA"),0)</f>
        <v>0</v>
      </c>
      <c r="M201" s="18">
        <f t="shared" si="15"/>
        <v>0</v>
      </c>
      <c r="N201" s="17"/>
      <c r="AO201" s="18" t="str">
        <f t="shared" si="16"/>
        <v>REPONER</v>
      </c>
      <c r="AP201" s="20">
        <f t="shared" si="17"/>
        <v>0</v>
      </c>
      <c r="AQ201" s="17"/>
      <c r="AR201" s="16"/>
    </row>
    <row r="202" spans="1:44">
      <c r="A202" s="17"/>
      <c r="B202" s="17"/>
      <c r="C202" s="17"/>
      <c r="D202" s="17"/>
      <c r="E202" s="17"/>
      <c r="F202" s="17"/>
      <c r="G202" s="17"/>
      <c r="H202" s="25"/>
      <c r="I202" s="19">
        <f t="shared" si="14"/>
        <v>0</v>
      </c>
      <c r="J202" s="17"/>
      <c r="K202" s="18">
        <f>IFERROR(SUMIFS(MOVIMIENTOS!$E:$E,MOVIMIENTOS!$C:$C,$A202,MOVIMIENTOS!$B:$B,"ENTRADA"),0)</f>
        <v>0</v>
      </c>
      <c r="L202" s="18">
        <f>IFERROR(SUMIFS(MOVIMIENTOS!$E:$E,MOVIMIENTOS!$C:$C,$A202,MOVIMIENTOS!$B:$B,"SALIDA")+SUMIFS(MOVIMIENTOS!$E:$E,MOVIMIENTOS!$C:$C,$A202,MOVIMIENTOS!$B:$B,"MERMA"),0)</f>
        <v>0</v>
      </c>
      <c r="M202" s="18">
        <f t="shared" si="15"/>
        <v>0</v>
      </c>
      <c r="N202" s="17"/>
      <c r="AO202" s="18" t="str">
        <f t="shared" si="16"/>
        <v>REPONER</v>
      </c>
      <c r="AP202" s="20">
        <f t="shared" si="17"/>
        <v>0</v>
      </c>
      <c r="AQ202" s="17"/>
      <c r="AR202" s="16"/>
    </row>
    <row r="203" spans="1:44">
      <c r="A203" s="17"/>
      <c r="B203" s="17"/>
      <c r="C203" s="17"/>
      <c r="D203" s="17"/>
      <c r="E203" s="17"/>
      <c r="F203" s="17"/>
      <c r="G203" s="17"/>
      <c r="H203" s="25"/>
      <c r="I203" s="19">
        <f t="shared" si="14"/>
        <v>0</v>
      </c>
      <c r="J203" s="17"/>
      <c r="K203" s="18">
        <f>IFERROR(SUMIFS(MOVIMIENTOS!$E:$E,MOVIMIENTOS!$C:$C,$A203,MOVIMIENTOS!$B:$B,"ENTRADA"),0)</f>
        <v>0</v>
      </c>
      <c r="L203" s="18">
        <f>IFERROR(SUMIFS(MOVIMIENTOS!$E:$E,MOVIMIENTOS!$C:$C,$A203,MOVIMIENTOS!$B:$B,"SALIDA")+SUMIFS(MOVIMIENTOS!$E:$E,MOVIMIENTOS!$C:$C,$A203,MOVIMIENTOS!$B:$B,"MERMA"),0)</f>
        <v>0</v>
      </c>
      <c r="M203" s="18">
        <f t="shared" si="15"/>
        <v>0</v>
      </c>
      <c r="N203" s="17"/>
      <c r="AO203" s="18" t="str">
        <f t="shared" si="16"/>
        <v>REPONER</v>
      </c>
      <c r="AP203" s="20">
        <f t="shared" si="17"/>
        <v>0</v>
      </c>
      <c r="AQ203" s="17"/>
      <c r="AR203" s="16"/>
    </row>
    <row r="204" spans="1:44">
      <c r="A204" s="17"/>
      <c r="B204" s="17"/>
      <c r="C204" s="17"/>
      <c r="D204" s="17"/>
      <c r="E204" s="17"/>
      <c r="F204" s="17"/>
      <c r="G204" s="17"/>
      <c r="H204" s="25"/>
      <c r="I204" s="19">
        <f t="shared" si="14"/>
        <v>0</v>
      </c>
      <c r="J204" s="17"/>
      <c r="K204" s="18">
        <f>IFERROR(SUMIFS(MOVIMIENTOS!$E:$E,MOVIMIENTOS!$C:$C,$A204,MOVIMIENTOS!$B:$B,"ENTRADA"),0)</f>
        <v>0</v>
      </c>
      <c r="L204" s="18">
        <f>IFERROR(SUMIFS(MOVIMIENTOS!$E:$E,MOVIMIENTOS!$C:$C,$A204,MOVIMIENTOS!$B:$B,"SALIDA")+SUMIFS(MOVIMIENTOS!$E:$E,MOVIMIENTOS!$C:$C,$A204,MOVIMIENTOS!$B:$B,"MERMA"),0)</f>
        <v>0</v>
      </c>
      <c r="M204" s="18">
        <f t="shared" si="15"/>
        <v>0</v>
      </c>
      <c r="N204" s="17"/>
      <c r="AO204" s="18" t="str">
        <f t="shared" si="16"/>
        <v>REPONER</v>
      </c>
      <c r="AP204" s="20">
        <f t="shared" si="17"/>
        <v>0</v>
      </c>
      <c r="AQ204" s="17"/>
      <c r="AR204" s="16"/>
    </row>
    <row r="205" spans="1:44">
      <c r="A205" s="17"/>
      <c r="B205" s="17"/>
      <c r="C205" s="17"/>
      <c r="D205" s="17"/>
      <c r="E205" s="17"/>
      <c r="F205" s="17"/>
      <c r="G205" s="17"/>
      <c r="H205" s="25"/>
      <c r="I205" s="19">
        <f t="shared" si="14"/>
        <v>0</v>
      </c>
      <c r="J205" s="17"/>
      <c r="K205" s="18">
        <f>IFERROR(SUMIFS(MOVIMIENTOS!$E:$E,MOVIMIENTOS!$C:$C,$A205,MOVIMIENTOS!$B:$B,"ENTRADA"),0)</f>
        <v>0</v>
      </c>
      <c r="L205" s="18">
        <f>IFERROR(SUMIFS(MOVIMIENTOS!$E:$E,MOVIMIENTOS!$C:$C,$A205,MOVIMIENTOS!$B:$B,"SALIDA")+SUMIFS(MOVIMIENTOS!$E:$E,MOVIMIENTOS!$C:$C,$A205,MOVIMIENTOS!$B:$B,"MERMA"),0)</f>
        <v>0</v>
      </c>
      <c r="M205" s="18">
        <f t="shared" si="15"/>
        <v>0</v>
      </c>
      <c r="N205" s="17"/>
      <c r="AO205" s="18" t="str">
        <f t="shared" si="16"/>
        <v>REPONER</v>
      </c>
      <c r="AP205" s="20">
        <f t="shared" si="17"/>
        <v>0</v>
      </c>
      <c r="AQ205" s="17"/>
      <c r="AR205" s="16"/>
    </row>
    <row r="206" spans="1:44">
      <c r="A206" s="17"/>
      <c r="B206" s="17"/>
      <c r="C206" s="17"/>
      <c r="D206" s="17"/>
      <c r="E206" s="17"/>
      <c r="F206" s="17"/>
      <c r="G206" s="17"/>
      <c r="H206" s="25"/>
      <c r="I206" s="19">
        <f t="shared" si="14"/>
        <v>0</v>
      </c>
      <c r="J206" s="17"/>
      <c r="K206" s="18">
        <f>IFERROR(SUMIFS(MOVIMIENTOS!$E:$E,MOVIMIENTOS!$C:$C,$A206,MOVIMIENTOS!$B:$B,"ENTRADA"),0)</f>
        <v>0</v>
      </c>
      <c r="L206" s="18">
        <f>IFERROR(SUMIFS(MOVIMIENTOS!$E:$E,MOVIMIENTOS!$C:$C,$A206,MOVIMIENTOS!$B:$B,"SALIDA")+SUMIFS(MOVIMIENTOS!$E:$E,MOVIMIENTOS!$C:$C,$A206,MOVIMIENTOS!$B:$B,"MERMA"),0)</f>
        <v>0</v>
      </c>
      <c r="M206" s="18">
        <f t="shared" si="15"/>
        <v>0</v>
      </c>
      <c r="N206" s="17"/>
      <c r="AO206" s="18" t="str">
        <f t="shared" si="16"/>
        <v>REPONER</v>
      </c>
      <c r="AP206" s="20">
        <f t="shared" si="17"/>
        <v>0</v>
      </c>
      <c r="AQ206" s="17"/>
      <c r="AR206" s="16"/>
    </row>
    <row r="207" spans="1:44">
      <c r="A207" s="17"/>
      <c r="B207" s="17"/>
      <c r="C207" s="17"/>
      <c r="D207" s="17"/>
      <c r="E207" s="17"/>
      <c r="F207" s="17"/>
      <c r="G207" s="17"/>
      <c r="H207" s="25"/>
      <c r="I207" s="19">
        <f t="shared" si="14"/>
        <v>0</v>
      </c>
      <c r="J207" s="17"/>
      <c r="K207" s="18">
        <f>IFERROR(SUMIFS(MOVIMIENTOS!$E:$E,MOVIMIENTOS!$C:$C,$A207,MOVIMIENTOS!$B:$B,"ENTRADA"),0)</f>
        <v>0</v>
      </c>
      <c r="L207" s="18">
        <f>IFERROR(SUMIFS(MOVIMIENTOS!$E:$E,MOVIMIENTOS!$C:$C,$A207,MOVIMIENTOS!$B:$B,"SALIDA")+SUMIFS(MOVIMIENTOS!$E:$E,MOVIMIENTOS!$C:$C,$A207,MOVIMIENTOS!$B:$B,"MERMA"),0)</f>
        <v>0</v>
      </c>
      <c r="M207" s="18">
        <f t="shared" si="15"/>
        <v>0</v>
      </c>
      <c r="N207" s="17"/>
      <c r="AO207" s="18" t="str">
        <f t="shared" si="16"/>
        <v>REPONER</v>
      </c>
      <c r="AP207" s="20">
        <f t="shared" si="17"/>
        <v>0</v>
      </c>
      <c r="AQ207" s="17"/>
      <c r="AR207" s="16"/>
    </row>
    <row r="208" spans="1:44">
      <c r="A208" s="17"/>
      <c r="B208" s="17"/>
      <c r="C208" s="17"/>
      <c r="D208" s="17"/>
      <c r="E208" s="17"/>
      <c r="F208" s="17"/>
      <c r="G208" s="17"/>
      <c r="H208" s="25"/>
      <c r="I208" s="19">
        <f t="shared" si="14"/>
        <v>0</v>
      </c>
      <c r="J208" s="17"/>
      <c r="K208" s="18">
        <f>IFERROR(SUMIFS(MOVIMIENTOS!$E:$E,MOVIMIENTOS!$C:$C,$A208,MOVIMIENTOS!$B:$B,"ENTRADA"),0)</f>
        <v>0</v>
      </c>
      <c r="L208" s="18">
        <f>IFERROR(SUMIFS(MOVIMIENTOS!$E:$E,MOVIMIENTOS!$C:$C,$A208,MOVIMIENTOS!$B:$B,"SALIDA")+SUMIFS(MOVIMIENTOS!$E:$E,MOVIMIENTOS!$C:$C,$A208,MOVIMIENTOS!$B:$B,"MERMA"),0)</f>
        <v>0</v>
      </c>
      <c r="M208" s="18">
        <f t="shared" si="15"/>
        <v>0</v>
      </c>
      <c r="N208" s="17"/>
      <c r="AO208" s="18" t="str">
        <f t="shared" si="16"/>
        <v>REPONER</v>
      </c>
      <c r="AP208" s="20">
        <f t="shared" si="17"/>
        <v>0</v>
      </c>
      <c r="AQ208" s="17"/>
      <c r="AR208" s="16"/>
    </row>
    <row r="209" spans="1:44">
      <c r="A209" s="17"/>
      <c r="B209" s="17"/>
      <c r="C209" s="17"/>
      <c r="D209" s="17"/>
      <c r="E209" s="17"/>
      <c r="F209" s="17"/>
      <c r="G209" s="17"/>
      <c r="H209" s="25"/>
      <c r="I209" s="19">
        <f t="shared" si="14"/>
        <v>0</v>
      </c>
      <c r="J209" s="17"/>
      <c r="K209" s="18">
        <f>IFERROR(SUMIFS(MOVIMIENTOS!$E:$E,MOVIMIENTOS!$C:$C,$A209,MOVIMIENTOS!$B:$B,"ENTRADA"),0)</f>
        <v>0</v>
      </c>
      <c r="L209" s="18">
        <f>IFERROR(SUMIFS(MOVIMIENTOS!$E:$E,MOVIMIENTOS!$C:$C,$A209,MOVIMIENTOS!$B:$B,"SALIDA")+SUMIFS(MOVIMIENTOS!$E:$E,MOVIMIENTOS!$C:$C,$A209,MOVIMIENTOS!$B:$B,"MERMA"),0)</f>
        <v>0</v>
      </c>
      <c r="M209" s="18">
        <f t="shared" si="15"/>
        <v>0</v>
      </c>
      <c r="N209" s="17"/>
      <c r="AO209" s="18" t="str">
        <f t="shared" si="16"/>
        <v>REPONER</v>
      </c>
      <c r="AP209" s="20">
        <f t="shared" si="17"/>
        <v>0</v>
      </c>
      <c r="AQ209" s="17"/>
      <c r="AR209" s="16"/>
    </row>
    <row r="210" spans="1:44">
      <c r="A210" s="17"/>
      <c r="B210" s="17"/>
      <c r="C210" s="17"/>
      <c r="D210" s="17"/>
      <c r="E210" s="17"/>
      <c r="F210" s="17"/>
      <c r="G210" s="17"/>
      <c r="H210" s="25"/>
      <c r="I210" s="19">
        <f t="shared" si="14"/>
        <v>0</v>
      </c>
      <c r="J210" s="17"/>
      <c r="K210" s="18">
        <f>IFERROR(SUMIFS(MOVIMIENTOS!$E:$E,MOVIMIENTOS!$C:$C,$A210,MOVIMIENTOS!$B:$B,"ENTRADA"),0)</f>
        <v>0</v>
      </c>
      <c r="L210" s="18">
        <f>IFERROR(SUMIFS(MOVIMIENTOS!$E:$E,MOVIMIENTOS!$C:$C,$A210,MOVIMIENTOS!$B:$B,"SALIDA")+SUMIFS(MOVIMIENTOS!$E:$E,MOVIMIENTOS!$C:$C,$A210,MOVIMIENTOS!$B:$B,"MERMA"),0)</f>
        <v>0</v>
      </c>
      <c r="M210" s="18">
        <f t="shared" si="15"/>
        <v>0</v>
      </c>
      <c r="N210" s="17"/>
      <c r="AO210" s="18" t="str">
        <f t="shared" si="16"/>
        <v>REPONER</v>
      </c>
      <c r="AP210" s="20">
        <f t="shared" si="17"/>
        <v>0</v>
      </c>
      <c r="AQ210" s="17"/>
      <c r="AR210" s="16"/>
    </row>
    <row r="211" spans="1:44">
      <c r="A211" s="17"/>
      <c r="B211" s="17"/>
      <c r="C211" s="17"/>
      <c r="D211" s="17"/>
      <c r="E211" s="17"/>
      <c r="F211" s="17"/>
      <c r="G211" s="17"/>
      <c r="H211" s="25"/>
      <c r="I211" s="19">
        <f t="shared" si="14"/>
        <v>0</v>
      </c>
      <c r="J211" s="17"/>
      <c r="K211" s="18">
        <f>IFERROR(SUMIFS(MOVIMIENTOS!$E:$E,MOVIMIENTOS!$C:$C,$A211,MOVIMIENTOS!$B:$B,"ENTRADA"),0)</f>
        <v>0</v>
      </c>
      <c r="L211" s="18">
        <f>IFERROR(SUMIFS(MOVIMIENTOS!$E:$E,MOVIMIENTOS!$C:$C,$A211,MOVIMIENTOS!$B:$B,"SALIDA")+SUMIFS(MOVIMIENTOS!$E:$E,MOVIMIENTOS!$C:$C,$A211,MOVIMIENTOS!$B:$B,"MERMA"),0)</f>
        <v>0</v>
      </c>
      <c r="M211" s="18">
        <f t="shared" si="15"/>
        <v>0</v>
      </c>
      <c r="N211" s="17"/>
      <c r="AO211" s="18" t="str">
        <f t="shared" si="16"/>
        <v>REPONER</v>
      </c>
      <c r="AP211" s="20">
        <f t="shared" si="17"/>
        <v>0</v>
      </c>
      <c r="AQ211" s="17"/>
      <c r="AR211" s="16"/>
    </row>
    <row r="212" spans="1:44">
      <c r="A212" s="17"/>
      <c r="B212" s="17"/>
      <c r="C212" s="17"/>
      <c r="D212" s="17"/>
      <c r="E212" s="17"/>
      <c r="F212" s="17"/>
      <c r="G212" s="17"/>
      <c r="H212" s="25"/>
      <c r="I212" s="19">
        <f t="shared" si="14"/>
        <v>0</v>
      </c>
      <c r="J212" s="17"/>
      <c r="K212" s="18">
        <f>IFERROR(SUMIFS(MOVIMIENTOS!$E:$E,MOVIMIENTOS!$C:$C,$A212,MOVIMIENTOS!$B:$B,"ENTRADA"),0)</f>
        <v>0</v>
      </c>
      <c r="L212" s="18">
        <f>IFERROR(SUMIFS(MOVIMIENTOS!$E:$E,MOVIMIENTOS!$C:$C,$A212,MOVIMIENTOS!$B:$B,"SALIDA")+SUMIFS(MOVIMIENTOS!$E:$E,MOVIMIENTOS!$C:$C,$A212,MOVIMIENTOS!$B:$B,"MERMA"),0)</f>
        <v>0</v>
      </c>
      <c r="M212" s="18">
        <f t="shared" si="15"/>
        <v>0</v>
      </c>
      <c r="N212" s="17"/>
      <c r="AO212" s="18" t="str">
        <f t="shared" si="16"/>
        <v>REPONER</v>
      </c>
      <c r="AP212" s="20">
        <f t="shared" si="17"/>
        <v>0</v>
      </c>
      <c r="AQ212" s="17"/>
      <c r="AR212" s="16"/>
    </row>
    <row r="213" spans="1:44">
      <c r="A213" s="17"/>
      <c r="B213" s="17"/>
      <c r="C213" s="17"/>
      <c r="D213" s="17"/>
      <c r="E213" s="17"/>
      <c r="F213" s="17"/>
      <c r="G213" s="17"/>
      <c r="H213" s="25"/>
      <c r="I213" s="19">
        <f t="shared" si="14"/>
        <v>0</v>
      </c>
      <c r="J213" s="17"/>
      <c r="K213" s="18">
        <f>IFERROR(SUMIFS(MOVIMIENTOS!$E:$E,MOVIMIENTOS!$C:$C,$A213,MOVIMIENTOS!$B:$B,"ENTRADA"),0)</f>
        <v>0</v>
      </c>
      <c r="L213" s="18">
        <f>IFERROR(SUMIFS(MOVIMIENTOS!$E:$E,MOVIMIENTOS!$C:$C,$A213,MOVIMIENTOS!$B:$B,"SALIDA")+SUMIFS(MOVIMIENTOS!$E:$E,MOVIMIENTOS!$C:$C,$A213,MOVIMIENTOS!$B:$B,"MERMA"),0)</f>
        <v>0</v>
      </c>
      <c r="M213" s="18">
        <f t="shared" si="15"/>
        <v>0</v>
      </c>
      <c r="N213" s="17"/>
      <c r="AO213" s="18" t="str">
        <f t="shared" si="16"/>
        <v>REPONER</v>
      </c>
      <c r="AP213" s="20">
        <f t="shared" si="17"/>
        <v>0</v>
      </c>
      <c r="AQ213" s="17"/>
      <c r="AR213" s="16"/>
    </row>
    <row r="214" spans="1:44">
      <c r="A214" s="17"/>
      <c r="B214" s="17"/>
      <c r="C214" s="17"/>
      <c r="D214" s="17"/>
      <c r="E214" s="17"/>
      <c r="F214" s="17"/>
      <c r="G214" s="17"/>
      <c r="H214" s="25"/>
      <c r="I214" s="19">
        <f t="shared" si="14"/>
        <v>0</v>
      </c>
      <c r="J214" s="17"/>
      <c r="K214" s="18">
        <f>IFERROR(SUMIFS(MOVIMIENTOS!$E:$E,MOVIMIENTOS!$C:$C,$A214,MOVIMIENTOS!$B:$B,"ENTRADA"),0)</f>
        <v>0</v>
      </c>
      <c r="L214" s="18">
        <f>IFERROR(SUMIFS(MOVIMIENTOS!$E:$E,MOVIMIENTOS!$C:$C,$A214,MOVIMIENTOS!$B:$B,"SALIDA")+SUMIFS(MOVIMIENTOS!$E:$E,MOVIMIENTOS!$C:$C,$A214,MOVIMIENTOS!$B:$B,"MERMA"),0)</f>
        <v>0</v>
      </c>
      <c r="M214" s="18">
        <f t="shared" si="15"/>
        <v>0</v>
      </c>
      <c r="N214" s="17"/>
      <c r="AO214" s="18" t="str">
        <f t="shared" si="16"/>
        <v>REPONER</v>
      </c>
      <c r="AP214" s="20">
        <f t="shared" si="17"/>
        <v>0</v>
      </c>
      <c r="AQ214" s="17"/>
      <c r="AR214" s="16"/>
    </row>
    <row r="215" spans="1:44">
      <c r="A215" s="17"/>
      <c r="B215" s="17"/>
      <c r="C215" s="17"/>
      <c r="D215" s="17"/>
      <c r="E215" s="17"/>
      <c r="F215" s="17"/>
      <c r="G215" s="17"/>
      <c r="H215" s="25"/>
      <c r="I215" s="19">
        <f t="shared" si="14"/>
        <v>0</v>
      </c>
      <c r="J215" s="17"/>
      <c r="K215" s="18">
        <f>IFERROR(SUMIFS(MOVIMIENTOS!$E:$E,MOVIMIENTOS!$C:$C,$A215,MOVIMIENTOS!$B:$B,"ENTRADA"),0)</f>
        <v>0</v>
      </c>
      <c r="L215" s="18">
        <f>IFERROR(SUMIFS(MOVIMIENTOS!$E:$E,MOVIMIENTOS!$C:$C,$A215,MOVIMIENTOS!$B:$B,"SALIDA")+SUMIFS(MOVIMIENTOS!$E:$E,MOVIMIENTOS!$C:$C,$A215,MOVIMIENTOS!$B:$B,"MERMA"),0)</f>
        <v>0</v>
      </c>
      <c r="M215" s="18">
        <f t="shared" si="15"/>
        <v>0</v>
      </c>
      <c r="N215" s="17"/>
      <c r="AO215" s="18" t="str">
        <f t="shared" si="16"/>
        <v>REPONER</v>
      </c>
      <c r="AP215" s="20">
        <f t="shared" si="17"/>
        <v>0</v>
      </c>
      <c r="AQ215" s="17"/>
      <c r="AR215" s="16"/>
    </row>
    <row r="216" spans="1:44">
      <c r="A216" s="17"/>
      <c r="B216" s="17"/>
      <c r="C216" s="17"/>
      <c r="D216" s="17"/>
      <c r="E216" s="17"/>
      <c r="F216" s="17"/>
      <c r="G216" s="17"/>
      <c r="H216" s="25"/>
      <c r="I216" s="19">
        <f t="shared" si="14"/>
        <v>0</v>
      </c>
      <c r="J216" s="17"/>
      <c r="K216" s="18">
        <f>IFERROR(SUMIFS(MOVIMIENTOS!$E:$E,MOVIMIENTOS!$C:$C,$A216,MOVIMIENTOS!$B:$B,"ENTRADA"),0)</f>
        <v>0</v>
      </c>
      <c r="L216" s="18">
        <f>IFERROR(SUMIFS(MOVIMIENTOS!$E:$E,MOVIMIENTOS!$C:$C,$A216,MOVIMIENTOS!$B:$B,"SALIDA")+SUMIFS(MOVIMIENTOS!$E:$E,MOVIMIENTOS!$C:$C,$A216,MOVIMIENTOS!$B:$B,"MERMA"),0)</f>
        <v>0</v>
      </c>
      <c r="M216" s="18">
        <f t="shared" si="15"/>
        <v>0</v>
      </c>
      <c r="N216" s="17"/>
      <c r="AO216" s="18" t="str">
        <f t="shared" si="16"/>
        <v>REPONER</v>
      </c>
      <c r="AP216" s="20">
        <f t="shared" si="17"/>
        <v>0</v>
      </c>
      <c r="AQ216" s="17"/>
      <c r="AR216" s="16"/>
    </row>
    <row r="217" spans="1:44">
      <c r="A217" s="17"/>
      <c r="B217" s="17"/>
      <c r="C217" s="17"/>
      <c r="D217" s="17"/>
      <c r="E217" s="17"/>
      <c r="F217" s="17"/>
      <c r="G217" s="17"/>
      <c r="H217" s="25"/>
      <c r="I217" s="19">
        <f t="shared" si="14"/>
        <v>0</v>
      </c>
      <c r="J217" s="17"/>
      <c r="K217" s="18">
        <f>IFERROR(SUMIFS(MOVIMIENTOS!$E:$E,MOVIMIENTOS!$C:$C,$A217,MOVIMIENTOS!$B:$B,"ENTRADA"),0)</f>
        <v>0</v>
      </c>
      <c r="L217" s="18">
        <f>IFERROR(SUMIFS(MOVIMIENTOS!$E:$E,MOVIMIENTOS!$C:$C,$A217,MOVIMIENTOS!$B:$B,"SALIDA")+SUMIFS(MOVIMIENTOS!$E:$E,MOVIMIENTOS!$C:$C,$A217,MOVIMIENTOS!$B:$B,"MERMA"),0)</f>
        <v>0</v>
      </c>
      <c r="M217" s="18">
        <f t="shared" si="15"/>
        <v>0</v>
      </c>
      <c r="N217" s="17"/>
      <c r="AO217" s="18" t="str">
        <f t="shared" si="16"/>
        <v>REPONER</v>
      </c>
      <c r="AP217" s="20">
        <f t="shared" si="17"/>
        <v>0</v>
      </c>
      <c r="AQ217" s="17"/>
      <c r="AR217" s="16"/>
    </row>
    <row r="218" spans="1:44">
      <c r="A218" s="17"/>
      <c r="B218" s="17"/>
      <c r="C218" s="17"/>
      <c r="D218" s="17"/>
      <c r="E218" s="17"/>
      <c r="F218" s="17"/>
      <c r="G218" s="17"/>
      <c r="H218" s="25"/>
      <c r="I218" s="19">
        <f t="shared" si="14"/>
        <v>0</v>
      </c>
      <c r="J218" s="17"/>
      <c r="K218" s="18">
        <f>IFERROR(SUMIFS(MOVIMIENTOS!$E:$E,MOVIMIENTOS!$C:$C,$A218,MOVIMIENTOS!$B:$B,"ENTRADA"),0)</f>
        <v>0</v>
      </c>
      <c r="L218" s="18">
        <f>IFERROR(SUMIFS(MOVIMIENTOS!$E:$E,MOVIMIENTOS!$C:$C,$A218,MOVIMIENTOS!$B:$B,"SALIDA")+SUMIFS(MOVIMIENTOS!$E:$E,MOVIMIENTOS!$C:$C,$A218,MOVIMIENTOS!$B:$B,"MERMA"),0)</f>
        <v>0</v>
      </c>
      <c r="M218" s="18">
        <f t="shared" si="15"/>
        <v>0</v>
      </c>
      <c r="N218" s="17"/>
      <c r="AO218" s="18" t="str">
        <f t="shared" si="16"/>
        <v>REPONER</v>
      </c>
      <c r="AP218" s="20">
        <f t="shared" si="17"/>
        <v>0</v>
      </c>
      <c r="AQ218" s="17"/>
      <c r="AR218" s="16"/>
    </row>
    <row r="219" spans="1:44">
      <c r="A219" s="17"/>
      <c r="B219" s="17"/>
      <c r="C219" s="17"/>
      <c r="D219" s="17"/>
      <c r="E219" s="17"/>
      <c r="F219" s="17"/>
      <c r="G219" s="17"/>
      <c r="H219" s="25"/>
      <c r="I219" s="19">
        <f t="shared" si="14"/>
        <v>0</v>
      </c>
      <c r="J219" s="17"/>
      <c r="K219" s="18">
        <f>IFERROR(SUMIFS(MOVIMIENTOS!$E:$E,MOVIMIENTOS!$C:$C,$A219,MOVIMIENTOS!$B:$B,"ENTRADA"),0)</f>
        <v>0</v>
      </c>
      <c r="L219" s="18">
        <f>IFERROR(SUMIFS(MOVIMIENTOS!$E:$E,MOVIMIENTOS!$C:$C,$A219,MOVIMIENTOS!$B:$B,"SALIDA")+SUMIFS(MOVIMIENTOS!$E:$E,MOVIMIENTOS!$C:$C,$A219,MOVIMIENTOS!$B:$B,"MERMA"),0)</f>
        <v>0</v>
      </c>
      <c r="M219" s="18">
        <f t="shared" si="15"/>
        <v>0</v>
      </c>
      <c r="N219" s="17"/>
      <c r="AO219" s="18" t="str">
        <f t="shared" si="16"/>
        <v>REPONER</v>
      </c>
      <c r="AP219" s="20">
        <f t="shared" si="17"/>
        <v>0</v>
      </c>
      <c r="AQ219" s="17"/>
      <c r="AR219" s="16"/>
    </row>
    <row r="220" spans="1:44">
      <c r="A220" s="17"/>
      <c r="B220" s="17"/>
      <c r="C220" s="17"/>
      <c r="D220" s="17"/>
      <c r="E220" s="17"/>
      <c r="F220" s="17"/>
      <c r="G220" s="17"/>
      <c r="H220" s="25"/>
      <c r="I220" s="19">
        <f t="shared" si="14"/>
        <v>0</v>
      </c>
      <c r="J220" s="17"/>
      <c r="K220" s="18">
        <f>IFERROR(SUMIFS(MOVIMIENTOS!$E:$E,MOVIMIENTOS!$C:$C,$A220,MOVIMIENTOS!$B:$B,"ENTRADA"),0)</f>
        <v>0</v>
      </c>
      <c r="L220" s="18">
        <f>IFERROR(SUMIFS(MOVIMIENTOS!$E:$E,MOVIMIENTOS!$C:$C,$A220,MOVIMIENTOS!$B:$B,"SALIDA")+SUMIFS(MOVIMIENTOS!$E:$E,MOVIMIENTOS!$C:$C,$A220,MOVIMIENTOS!$B:$B,"MERMA"),0)</f>
        <v>0</v>
      </c>
      <c r="M220" s="18">
        <f t="shared" si="15"/>
        <v>0</v>
      </c>
      <c r="N220" s="17"/>
      <c r="AO220" s="18" t="str">
        <f t="shared" si="16"/>
        <v>REPONER</v>
      </c>
      <c r="AP220" s="20">
        <f t="shared" si="17"/>
        <v>0</v>
      </c>
      <c r="AQ220" s="17"/>
      <c r="AR220" s="16"/>
    </row>
    <row r="221" spans="1:44">
      <c r="A221" s="17"/>
      <c r="B221" s="17"/>
      <c r="C221" s="17"/>
      <c r="D221" s="17"/>
      <c r="E221" s="17"/>
      <c r="F221" s="17"/>
      <c r="G221" s="17"/>
      <c r="H221" s="25"/>
      <c r="I221" s="19">
        <f t="shared" si="14"/>
        <v>0</v>
      </c>
      <c r="J221" s="17"/>
      <c r="K221" s="18">
        <f>IFERROR(SUMIFS(MOVIMIENTOS!$E:$E,MOVIMIENTOS!$C:$C,$A221,MOVIMIENTOS!$B:$B,"ENTRADA"),0)</f>
        <v>0</v>
      </c>
      <c r="L221" s="18">
        <f>IFERROR(SUMIFS(MOVIMIENTOS!$E:$E,MOVIMIENTOS!$C:$C,$A221,MOVIMIENTOS!$B:$B,"SALIDA")+SUMIFS(MOVIMIENTOS!$E:$E,MOVIMIENTOS!$C:$C,$A221,MOVIMIENTOS!$B:$B,"MERMA"),0)</f>
        <v>0</v>
      </c>
      <c r="M221" s="18">
        <f t="shared" si="15"/>
        <v>0</v>
      </c>
      <c r="N221" s="17"/>
      <c r="AO221" s="18" t="str">
        <f t="shared" si="16"/>
        <v>REPONER</v>
      </c>
      <c r="AP221" s="20">
        <f t="shared" si="17"/>
        <v>0</v>
      </c>
      <c r="AQ221" s="17"/>
      <c r="AR221" s="16"/>
    </row>
    <row r="222" spans="1:44">
      <c r="A222" s="17"/>
      <c r="B222" s="17"/>
      <c r="C222" s="17"/>
      <c r="D222" s="17"/>
      <c r="E222" s="17"/>
      <c r="F222" s="17"/>
      <c r="G222" s="17"/>
      <c r="H222" s="25"/>
      <c r="I222" s="19">
        <f t="shared" si="14"/>
        <v>0</v>
      </c>
      <c r="J222" s="17"/>
      <c r="K222" s="18">
        <f>IFERROR(SUMIFS(MOVIMIENTOS!$E:$E,MOVIMIENTOS!$C:$C,$A222,MOVIMIENTOS!$B:$B,"ENTRADA"),0)</f>
        <v>0</v>
      </c>
      <c r="L222" s="18">
        <f>IFERROR(SUMIFS(MOVIMIENTOS!$E:$E,MOVIMIENTOS!$C:$C,$A222,MOVIMIENTOS!$B:$B,"SALIDA")+SUMIFS(MOVIMIENTOS!$E:$E,MOVIMIENTOS!$C:$C,$A222,MOVIMIENTOS!$B:$B,"MERMA"),0)</f>
        <v>0</v>
      </c>
      <c r="M222" s="18">
        <f t="shared" si="15"/>
        <v>0</v>
      </c>
      <c r="N222" s="17"/>
      <c r="AO222" s="18" t="str">
        <f t="shared" si="16"/>
        <v>REPONER</v>
      </c>
      <c r="AP222" s="20">
        <f t="shared" si="17"/>
        <v>0</v>
      </c>
      <c r="AQ222" s="17"/>
      <c r="AR222" s="16"/>
    </row>
    <row r="223" spans="1:44">
      <c r="A223" s="17"/>
      <c r="B223" s="17"/>
      <c r="C223" s="17"/>
      <c r="D223" s="17"/>
      <c r="E223" s="17"/>
      <c r="F223" s="17"/>
      <c r="G223" s="17"/>
      <c r="H223" s="25"/>
      <c r="I223" s="19">
        <f t="shared" si="14"/>
        <v>0</v>
      </c>
      <c r="J223" s="17"/>
      <c r="K223" s="18">
        <f>IFERROR(SUMIFS(MOVIMIENTOS!$E:$E,MOVIMIENTOS!$C:$C,$A223,MOVIMIENTOS!$B:$B,"ENTRADA"),0)</f>
        <v>0</v>
      </c>
      <c r="L223" s="18">
        <f>IFERROR(SUMIFS(MOVIMIENTOS!$E:$E,MOVIMIENTOS!$C:$C,$A223,MOVIMIENTOS!$B:$B,"SALIDA")+SUMIFS(MOVIMIENTOS!$E:$E,MOVIMIENTOS!$C:$C,$A223,MOVIMIENTOS!$B:$B,"MERMA"),0)</f>
        <v>0</v>
      </c>
      <c r="M223" s="18">
        <f t="shared" si="15"/>
        <v>0</v>
      </c>
      <c r="N223" s="17"/>
      <c r="AO223" s="18" t="str">
        <f t="shared" si="16"/>
        <v>REPONER</v>
      </c>
      <c r="AP223" s="20">
        <f t="shared" si="17"/>
        <v>0</v>
      </c>
      <c r="AQ223" s="17"/>
      <c r="AR223" s="16"/>
    </row>
    <row r="224" spans="1:44">
      <c r="A224" s="17"/>
      <c r="B224" s="17"/>
      <c r="C224" s="17"/>
      <c r="D224" s="17"/>
      <c r="E224" s="17"/>
      <c r="F224" s="17"/>
      <c r="G224" s="17"/>
      <c r="H224" s="25"/>
      <c r="I224" s="19">
        <f t="shared" si="14"/>
        <v>0</v>
      </c>
      <c r="J224" s="17"/>
      <c r="K224" s="18">
        <f>IFERROR(SUMIFS(MOVIMIENTOS!$E:$E,MOVIMIENTOS!$C:$C,$A224,MOVIMIENTOS!$B:$B,"ENTRADA"),0)</f>
        <v>0</v>
      </c>
      <c r="L224" s="18">
        <f>IFERROR(SUMIFS(MOVIMIENTOS!$E:$E,MOVIMIENTOS!$C:$C,$A224,MOVIMIENTOS!$B:$B,"SALIDA")+SUMIFS(MOVIMIENTOS!$E:$E,MOVIMIENTOS!$C:$C,$A224,MOVIMIENTOS!$B:$B,"MERMA"),0)</f>
        <v>0</v>
      </c>
      <c r="M224" s="18">
        <f t="shared" si="15"/>
        <v>0</v>
      </c>
      <c r="N224" s="17"/>
      <c r="AO224" s="18" t="str">
        <f t="shared" si="16"/>
        <v>REPONER</v>
      </c>
      <c r="AP224" s="20">
        <f t="shared" si="17"/>
        <v>0</v>
      </c>
      <c r="AQ224" s="17"/>
      <c r="AR224" s="16"/>
    </row>
    <row r="225" spans="1:44">
      <c r="A225" s="17"/>
      <c r="B225" s="17"/>
      <c r="C225" s="17"/>
      <c r="D225" s="17"/>
      <c r="E225" s="17"/>
      <c r="F225" s="17"/>
      <c r="G225" s="17"/>
      <c r="H225" s="25"/>
      <c r="I225" s="19">
        <f t="shared" si="14"/>
        <v>0</v>
      </c>
      <c r="J225" s="17"/>
      <c r="K225" s="18">
        <f>IFERROR(SUMIFS(MOVIMIENTOS!$E:$E,MOVIMIENTOS!$C:$C,$A225,MOVIMIENTOS!$B:$B,"ENTRADA"),0)</f>
        <v>0</v>
      </c>
      <c r="L225" s="18">
        <f>IFERROR(SUMIFS(MOVIMIENTOS!$E:$E,MOVIMIENTOS!$C:$C,$A225,MOVIMIENTOS!$B:$B,"SALIDA")+SUMIFS(MOVIMIENTOS!$E:$E,MOVIMIENTOS!$C:$C,$A225,MOVIMIENTOS!$B:$B,"MERMA"),0)</f>
        <v>0</v>
      </c>
      <c r="M225" s="18">
        <f t="shared" si="15"/>
        <v>0</v>
      </c>
      <c r="N225" s="17"/>
      <c r="AO225" s="18" t="str">
        <f t="shared" si="16"/>
        <v>REPONER</v>
      </c>
      <c r="AP225" s="20">
        <f t="shared" si="17"/>
        <v>0</v>
      </c>
      <c r="AQ225" s="17"/>
      <c r="AR225" s="16"/>
    </row>
    <row r="226" spans="1:44">
      <c r="A226" s="17"/>
      <c r="B226" s="17"/>
      <c r="C226" s="17"/>
      <c r="D226" s="17"/>
      <c r="E226" s="17"/>
      <c r="F226" s="17"/>
      <c r="G226" s="17"/>
      <c r="H226" s="25"/>
      <c r="I226" s="19">
        <f t="shared" si="14"/>
        <v>0</v>
      </c>
      <c r="J226" s="17"/>
      <c r="K226" s="18">
        <f>IFERROR(SUMIFS(MOVIMIENTOS!$E:$E,MOVIMIENTOS!$C:$C,$A226,MOVIMIENTOS!$B:$B,"ENTRADA"),0)</f>
        <v>0</v>
      </c>
      <c r="L226" s="18">
        <f>IFERROR(SUMIFS(MOVIMIENTOS!$E:$E,MOVIMIENTOS!$C:$C,$A226,MOVIMIENTOS!$B:$B,"SALIDA")+SUMIFS(MOVIMIENTOS!$E:$E,MOVIMIENTOS!$C:$C,$A226,MOVIMIENTOS!$B:$B,"MERMA"),0)</f>
        <v>0</v>
      </c>
      <c r="M226" s="18">
        <f t="shared" si="15"/>
        <v>0</v>
      </c>
      <c r="N226" s="17"/>
      <c r="AO226" s="18" t="str">
        <f t="shared" si="16"/>
        <v>REPONER</v>
      </c>
      <c r="AP226" s="20">
        <f t="shared" si="17"/>
        <v>0</v>
      </c>
      <c r="AQ226" s="17"/>
      <c r="AR226" s="16"/>
    </row>
    <row r="227" spans="1:44">
      <c r="A227" s="17"/>
      <c r="B227" s="17"/>
      <c r="C227" s="17"/>
      <c r="D227" s="17"/>
      <c r="E227" s="17"/>
      <c r="F227" s="17"/>
      <c r="G227" s="17"/>
      <c r="H227" s="25"/>
      <c r="I227" s="19">
        <f t="shared" si="14"/>
        <v>0</v>
      </c>
      <c r="J227" s="17"/>
      <c r="K227" s="18">
        <f>IFERROR(SUMIFS(MOVIMIENTOS!$E:$E,MOVIMIENTOS!$C:$C,$A227,MOVIMIENTOS!$B:$B,"ENTRADA"),0)</f>
        <v>0</v>
      </c>
      <c r="L227" s="18">
        <f>IFERROR(SUMIFS(MOVIMIENTOS!$E:$E,MOVIMIENTOS!$C:$C,$A227,MOVIMIENTOS!$B:$B,"SALIDA")+SUMIFS(MOVIMIENTOS!$E:$E,MOVIMIENTOS!$C:$C,$A227,MOVIMIENTOS!$B:$B,"MERMA"),0)</f>
        <v>0</v>
      </c>
      <c r="M227" s="18">
        <f t="shared" si="15"/>
        <v>0</v>
      </c>
      <c r="N227" s="17"/>
      <c r="AO227" s="18" t="str">
        <f t="shared" si="16"/>
        <v>REPONER</v>
      </c>
      <c r="AP227" s="20">
        <f t="shared" si="17"/>
        <v>0</v>
      </c>
      <c r="AQ227" s="17"/>
      <c r="AR227" s="16"/>
    </row>
    <row r="228" spans="1:44">
      <c r="A228" s="17"/>
      <c r="B228" s="17"/>
      <c r="C228" s="17"/>
      <c r="D228" s="17"/>
      <c r="E228" s="17"/>
      <c r="F228" s="17"/>
      <c r="G228" s="17"/>
      <c r="H228" s="25"/>
      <c r="I228" s="19">
        <f t="shared" si="14"/>
        <v>0</v>
      </c>
      <c r="J228" s="17"/>
      <c r="K228" s="18">
        <f>IFERROR(SUMIFS(MOVIMIENTOS!$E:$E,MOVIMIENTOS!$C:$C,$A228,MOVIMIENTOS!$B:$B,"ENTRADA"),0)</f>
        <v>0</v>
      </c>
      <c r="L228" s="18">
        <f>IFERROR(SUMIFS(MOVIMIENTOS!$E:$E,MOVIMIENTOS!$C:$C,$A228,MOVIMIENTOS!$B:$B,"SALIDA")+SUMIFS(MOVIMIENTOS!$E:$E,MOVIMIENTOS!$C:$C,$A228,MOVIMIENTOS!$B:$B,"MERMA"),0)</f>
        <v>0</v>
      </c>
      <c r="M228" s="18">
        <f t="shared" si="15"/>
        <v>0</v>
      </c>
      <c r="N228" s="17"/>
      <c r="AO228" s="18" t="str">
        <f t="shared" si="16"/>
        <v>REPONER</v>
      </c>
      <c r="AP228" s="20">
        <f t="shared" si="17"/>
        <v>0</v>
      </c>
      <c r="AQ228" s="17"/>
      <c r="AR228" s="16"/>
    </row>
    <row r="229" spans="1:44">
      <c r="A229" s="17"/>
      <c r="B229" s="17"/>
      <c r="C229" s="17"/>
      <c r="D229" s="17"/>
      <c r="E229" s="17"/>
      <c r="F229" s="17"/>
      <c r="G229" s="17"/>
      <c r="H229" s="25"/>
      <c r="I229" s="19">
        <f t="shared" si="14"/>
        <v>0</v>
      </c>
      <c r="J229" s="17"/>
      <c r="K229" s="18">
        <f>IFERROR(SUMIFS(MOVIMIENTOS!$E:$E,MOVIMIENTOS!$C:$C,$A229,MOVIMIENTOS!$B:$B,"ENTRADA"),0)</f>
        <v>0</v>
      </c>
      <c r="L229" s="18">
        <f>IFERROR(SUMIFS(MOVIMIENTOS!$E:$E,MOVIMIENTOS!$C:$C,$A229,MOVIMIENTOS!$B:$B,"SALIDA")+SUMIFS(MOVIMIENTOS!$E:$E,MOVIMIENTOS!$C:$C,$A229,MOVIMIENTOS!$B:$B,"MERMA"),0)</f>
        <v>0</v>
      </c>
      <c r="M229" s="18">
        <f t="shared" si="15"/>
        <v>0</v>
      </c>
      <c r="N229" s="17"/>
      <c r="AO229" s="18" t="str">
        <f t="shared" si="16"/>
        <v>REPONER</v>
      </c>
      <c r="AP229" s="20">
        <f t="shared" si="17"/>
        <v>0</v>
      </c>
      <c r="AQ229" s="17"/>
      <c r="AR229" s="16"/>
    </row>
    <row r="230" spans="1:44">
      <c r="A230" s="17"/>
      <c r="B230" s="17"/>
      <c r="C230" s="17"/>
      <c r="D230" s="17"/>
      <c r="E230" s="17"/>
      <c r="F230" s="17"/>
      <c r="G230" s="17"/>
      <c r="H230" s="25"/>
      <c r="I230" s="19">
        <f t="shared" si="14"/>
        <v>0</v>
      </c>
      <c r="J230" s="17"/>
      <c r="K230" s="18">
        <f>IFERROR(SUMIFS(MOVIMIENTOS!$E:$E,MOVIMIENTOS!$C:$C,$A230,MOVIMIENTOS!$B:$B,"ENTRADA"),0)</f>
        <v>0</v>
      </c>
      <c r="L230" s="18">
        <f>IFERROR(SUMIFS(MOVIMIENTOS!$E:$E,MOVIMIENTOS!$C:$C,$A230,MOVIMIENTOS!$B:$B,"SALIDA")+SUMIFS(MOVIMIENTOS!$E:$E,MOVIMIENTOS!$C:$C,$A230,MOVIMIENTOS!$B:$B,"MERMA"),0)</f>
        <v>0</v>
      </c>
      <c r="M230" s="18">
        <f t="shared" si="15"/>
        <v>0</v>
      </c>
      <c r="N230" s="17"/>
      <c r="AO230" s="18" t="str">
        <f t="shared" si="16"/>
        <v>REPONER</v>
      </c>
      <c r="AP230" s="20">
        <f t="shared" si="17"/>
        <v>0</v>
      </c>
      <c r="AQ230" s="17"/>
      <c r="AR230" s="16"/>
    </row>
    <row r="231" spans="1:44">
      <c r="A231" s="17"/>
      <c r="B231" s="17"/>
      <c r="C231" s="17"/>
      <c r="D231" s="17"/>
      <c r="E231" s="17"/>
      <c r="F231" s="17"/>
      <c r="G231" s="17"/>
      <c r="H231" s="25"/>
      <c r="I231" s="19">
        <f t="shared" si="14"/>
        <v>0</v>
      </c>
      <c r="J231" s="17"/>
      <c r="K231" s="18">
        <f>IFERROR(SUMIFS(MOVIMIENTOS!$E:$E,MOVIMIENTOS!$C:$C,$A231,MOVIMIENTOS!$B:$B,"ENTRADA"),0)</f>
        <v>0</v>
      </c>
      <c r="L231" s="18">
        <f>IFERROR(SUMIFS(MOVIMIENTOS!$E:$E,MOVIMIENTOS!$C:$C,$A231,MOVIMIENTOS!$B:$B,"SALIDA")+SUMIFS(MOVIMIENTOS!$E:$E,MOVIMIENTOS!$C:$C,$A231,MOVIMIENTOS!$B:$B,"MERMA"),0)</f>
        <v>0</v>
      </c>
      <c r="M231" s="18">
        <f t="shared" si="15"/>
        <v>0</v>
      </c>
      <c r="N231" s="17"/>
      <c r="AO231" s="18" t="str">
        <f t="shared" si="16"/>
        <v>REPONER</v>
      </c>
      <c r="AP231" s="20">
        <f t="shared" si="17"/>
        <v>0</v>
      </c>
      <c r="AQ231" s="17"/>
      <c r="AR231" s="16"/>
    </row>
    <row r="232" spans="1:44">
      <c r="A232" s="17"/>
      <c r="B232" s="17"/>
      <c r="C232" s="17"/>
      <c r="D232" s="17"/>
      <c r="E232" s="17"/>
      <c r="F232" s="17"/>
      <c r="G232" s="17"/>
      <c r="H232" s="25"/>
      <c r="I232" s="19">
        <f t="shared" si="14"/>
        <v>0</v>
      </c>
      <c r="J232" s="17"/>
      <c r="K232" s="18">
        <f>IFERROR(SUMIFS(MOVIMIENTOS!$E:$E,MOVIMIENTOS!$C:$C,$A232,MOVIMIENTOS!$B:$B,"ENTRADA"),0)</f>
        <v>0</v>
      </c>
      <c r="L232" s="18">
        <f>IFERROR(SUMIFS(MOVIMIENTOS!$E:$E,MOVIMIENTOS!$C:$C,$A232,MOVIMIENTOS!$B:$B,"SALIDA")+SUMIFS(MOVIMIENTOS!$E:$E,MOVIMIENTOS!$C:$C,$A232,MOVIMIENTOS!$B:$B,"MERMA"),0)</f>
        <v>0</v>
      </c>
      <c r="M232" s="18">
        <f t="shared" si="15"/>
        <v>0</v>
      </c>
      <c r="N232" s="17"/>
      <c r="AO232" s="18" t="str">
        <f t="shared" si="16"/>
        <v>REPONER</v>
      </c>
      <c r="AP232" s="20">
        <f t="shared" si="17"/>
        <v>0</v>
      </c>
      <c r="AQ232" s="17"/>
      <c r="AR232" s="16"/>
    </row>
    <row r="233" spans="1:44">
      <c r="A233" s="17"/>
      <c r="B233" s="17"/>
      <c r="C233" s="17"/>
      <c r="D233" s="17"/>
      <c r="E233" s="17"/>
      <c r="F233" s="17"/>
      <c r="G233" s="17"/>
      <c r="H233" s="25"/>
      <c r="I233" s="19">
        <f t="shared" si="14"/>
        <v>0</v>
      </c>
      <c r="J233" s="17"/>
      <c r="K233" s="18">
        <f>IFERROR(SUMIFS(MOVIMIENTOS!$E:$E,MOVIMIENTOS!$C:$C,$A233,MOVIMIENTOS!$B:$B,"ENTRADA"),0)</f>
        <v>0</v>
      </c>
      <c r="L233" s="18">
        <f>IFERROR(SUMIFS(MOVIMIENTOS!$E:$E,MOVIMIENTOS!$C:$C,$A233,MOVIMIENTOS!$B:$B,"SALIDA")+SUMIFS(MOVIMIENTOS!$E:$E,MOVIMIENTOS!$C:$C,$A233,MOVIMIENTOS!$B:$B,"MERMA"),0)</f>
        <v>0</v>
      </c>
      <c r="M233" s="18">
        <f t="shared" si="15"/>
        <v>0</v>
      </c>
      <c r="N233" s="17"/>
      <c r="AO233" s="18" t="str">
        <f t="shared" si="16"/>
        <v>REPONER</v>
      </c>
      <c r="AP233" s="20">
        <f t="shared" si="17"/>
        <v>0</v>
      </c>
      <c r="AQ233" s="17"/>
      <c r="AR233" s="16"/>
    </row>
    <row r="234" spans="1:44">
      <c r="A234" s="17"/>
      <c r="B234" s="17"/>
      <c r="C234" s="17"/>
      <c r="D234" s="17"/>
      <c r="E234" s="17"/>
      <c r="F234" s="17"/>
      <c r="G234" s="17"/>
      <c r="H234" s="25"/>
      <c r="I234" s="19">
        <f t="shared" si="14"/>
        <v>0</v>
      </c>
      <c r="J234" s="17"/>
      <c r="K234" s="18">
        <f>IFERROR(SUMIFS(MOVIMIENTOS!$E:$E,MOVIMIENTOS!$C:$C,$A234,MOVIMIENTOS!$B:$B,"ENTRADA"),0)</f>
        <v>0</v>
      </c>
      <c r="L234" s="18">
        <f>IFERROR(SUMIFS(MOVIMIENTOS!$E:$E,MOVIMIENTOS!$C:$C,$A234,MOVIMIENTOS!$B:$B,"SALIDA")+SUMIFS(MOVIMIENTOS!$E:$E,MOVIMIENTOS!$C:$C,$A234,MOVIMIENTOS!$B:$B,"MERMA"),0)</f>
        <v>0</v>
      </c>
      <c r="M234" s="18">
        <f t="shared" si="15"/>
        <v>0</v>
      </c>
      <c r="N234" s="17"/>
      <c r="AO234" s="18" t="str">
        <f t="shared" si="16"/>
        <v>REPONER</v>
      </c>
      <c r="AP234" s="20">
        <f t="shared" si="17"/>
        <v>0</v>
      </c>
      <c r="AQ234" s="17"/>
      <c r="AR234" s="16"/>
    </row>
    <row r="235" spans="1:44">
      <c r="A235" s="17"/>
      <c r="B235" s="17"/>
      <c r="C235" s="17"/>
      <c r="D235" s="17"/>
      <c r="E235" s="17"/>
      <c r="F235" s="17"/>
      <c r="G235" s="17"/>
      <c r="H235" s="25"/>
      <c r="I235" s="19">
        <f t="shared" si="14"/>
        <v>0</v>
      </c>
      <c r="J235" s="17"/>
      <c r="K235" s="18">
        <f>IFERROR(SUMIFS(MOVIMIENTOS!$E:$E,MOVIMIENTOS!$C:$C,$A235,MOVIMIENTOS!$B:$B,"ENTRADA"),0)</f>
        <v>0</v>
      </c>
      <c r="L235" s="18">
        <f>IFERROR(SUMIFS(MOVIMIENTOS!$E:$E,MOVIMIENTOS!$C:$C,$A235,MOVIMIENTOS!$B:$B,"SALIDA")+SUMIFS(MOVIMIENTOS!$E:$E,MOVIMIENTOS!$C:$C,$A235,MOVIMIENTOS!$B:$B,"MERMA"),0)</f>
        <v>0</v>
      </c>
      <c r="M235" s="18">
        <f t="shared" si="15"/>
        <v>0</v>
      </c>
      <c r="N235" s="17"/>
      <c r="AO235" s="18" t="str">
        <f t="shared" si="16"/>
        <v>REPONER</v>
      </c>
      <c r="AP235" s="20">
        <f t="shared" si="17"/>
        <v>0</v>
      </c>
      <c r="AQ235" s="17"/>
      <c r="AR235" s="16"/>
    </row>
    <row r="236" spans="1:44">
      <c r="A236" s="17"/>
      <c r="B236" s="17"/>
      <c r="C236" s="17"/>
      <c r="D236" s="17"/>
      <c r="E236" s="17"/>
      <c r="F236" s="17"/>
      <c r="G236" s="17"/>
      <c r="H236" s="25"/>
      <c r="I236" s="19">
        <f t="shared" si="14"/>
        <v>0</v>
      </c>
      <c r="J236" s="17"/>
      <c r="K236" s="18">
        <f>IFERROR(SUMIFS(MOVIMIENTOS!$E:$E,MOVIMIENTOS!$C:$C,$A236,MOVIMIENTOS!$B:$B,"ENTRADA"),0)</f>
        <v>0</v>
      </c>
      <c r="L236" s="18">
        <f>IFERROR(SUMIFS(MOVIMIENTOS!$E:$E,MOVIMIENTOS!$C:$C,$A236,MOVIMIENTOS!$B:$B,"SALIDA")+SUMIFS(MOVIMIENTOS!$E:$E,MOVIMIENTOS!$C:$C,$A236,MOVIMIENTOS!$B:$B,"MERMA"),0)</f>
        <v>0</v>
      </c>
      <c r="M236" s="18">
        <f t="shared" si="15"/>
        <v>0</v>
      </c>
      <c r="N236" s="17"/>
      <c r="AO236" s="18" t="str">
        <f t="shared" si="16"/>
        <v>REPONER</v>
      </c>
      <c r="AP236" s="20">
        <f t="shared" si="17"/>
        <v>0</v>
      </c>
      <c r="AQ236" s="17"/>
      <c r="AR236" s="16"/>
    </row>
    <row r="237" spans="1:44">
      <c r="A237" s="17"/>
      <c r="B237" s="17"/>
      <c r="C237" s="17"/>
      <c r="D237" s="17"/>
      <c r="E237" s="17"/>
      <c r="F237" s="17"/>
      <c r="G237" s="17"/>
      <c r="H237" s="25"/>
      <c r="I237" s="19">
        <f t="shared" si="14"/>
        <v>0</v>
      </c>
      <c r="J237" s="17"/>
      <c r="K237" s="18">
        <f>IFERROR(SUMIFS(MOVIMIENTOS!$E:$E,MOVIMIENTOS!$C:$C,$A237,MOVIMIENTOS!$B:$B,"ENTRADA"),0)</f>
        <v>0</v>
      </c>
      <c r="L237" s="18">
        <f>IFERROR(SUMIFS(MOVIMIENTOS!$E:$E,MOVIMIENTOS!$C:$C,$A237,MOVIMIENTOS!$B:$B,"SALIDA")+SUMIFS(MOVIMIENTOS!$E:$E,MOVIMIENTOS!$C:$C,$A237,MOVIMIENTOS!$B:$B,"MERMA"),0)</f>
        <v>0</v>
      </c>
      <c r="M237" s="18">
        <f t="shared" si="15"/>
        <v>0</v>
      </c>
      <c r="N237" s="17"/>
      <c r="AO237" s="18" t="str">
        <f t="shared" si="16"/>
        <v>REPONER</v>
      </c>
      <c r="AP237" s="20">
        <f t="shared" si="17"/>
        <v>0</v>
      </c>
      <c r="AQ237" s="17"/>
      <c r="AR237" s="16"/>
    </row>
    <row r="238" spans="1:44">
      <c r="A238" s="17"/>
      <c r="B238" s="17"/>
      <c r="C238" s="17"/>
      <c r="D238" s="17"/>
      <c r="E238" s="17"/>
      <c r="F238" s="17"/>
      <c r="G238" s="17"/>
      <c r="H238" s="25"/>
      <c r="I238" s="19">
        <f t="shared" si="14"/>
        <v>0</v>
      </c>
      <c r="J238" s="17"/>
      <c r="K238" s="18">
        <f>IFERROR(SUMIFS(MOVIMIENTOS!$E:$E,MOVIMIENTOS!$C:$C,$A238,MOVIMIENTOS!$B:$B,"ENTRADA"),0)</f>
        <v>0</v>
      </c>
      <c r="L238" s="18">
        <f>IFERROR(SUMIFS(MOVIMIENTOS!$E:$E,MOVIMIENTOS!$C:$C,$A238,MOVIMIENTOS!$B:$B,"SALIDA")+SUMIFS(MOVIMIENTOS!$E:$E,MOVIMIENTOS!$C:$C,$A238,MOVIMIENTOS!$B:$B,"MERMA"),0)</f>
        <v>0</v>
      </c>
      <c r="M238" s="18">
        <f t="shared" si="15"/>
        <v>0</v>
      </c>
      <c r="N238" s="17"/>
      <c r="AO238" s="18" t="str">
        <f t="shared" si="16"/>
        <v>REPONER</v>
      </c>
      <c r="AP238" s="20">
        <f t="shared" si="17"/>
        <v>0</v>
      </c>
      <c r="AQ238" s="17"/>
      <c r="AR238" s="16"/>
    </row>
    <row r="239" spans="1:44">
      <c r="A239" s="17"/>
      <c r="B239" s="17"/>
      <c r="C239" s="17"/>
      <c r="D239" s="17"/>
      <c r="E239" s="17"/>
      <c r="F239" s="17"/>
      <c r="G239" s="17"/>
      <c r="H239" s="25"/>
      <c r="I239" s="19">
        <f t="shared" si="14"/>
        <v>0</v>
      </c>
      <c r="J239" s="17"/>
      <c r="K239" s="18">
        <f>IFERROR(SUMIFS(MOVIMIENTOS!$E:$E,MOVIMIENTOS!$C:$C,$A239,MOVIMIENTOS!$B:$B,"ENTRADA"),0)</f>
        <v>0</v>
      </c>
      <c r="L239" s="18">
        <f>IFERROR(SUMIFS(MOVIMIENTOS!$E:$E,MOVIMIENTOS!$C:$C,$A239,MOVIMIENTOS!$B:$B,"SALIDA")+SUMIFS(MOVIMIENTOS!$E:$E,MOVIMIENTOS!$C:$C,$A239,MOVIMIENTOS!$B:$B,"MERMA"),0)</f>
        <v>0</v>
      </c>
      <c r="M239" s="18">
        <f t="shared" si="15"/>
        <v>0</v>
      </c>
      <c r="N239" s="17"/>
      <c r="AO239" s="18" t="str">
        <f t="shared" si="16"/>
        <v>REPONER</v>
      </c>
      <c r="AP239" s="20">
        <f t="shared" si="17"/>
        <v>0</v>
      </c>
      <c r="AQ239" s="17"/>
      <c r="AR239" s="16"/>
    </row>
    <row r="240" spans="1:44">
      <c r="A240" s="17"/>
      <c r="B240" s="17"/>
      <c r="C240" s="17"/>
      <c r="D240" s="17"/>
      <c r="E240" s="17"/>
      <c r="F240" s="17"/>
      <c r="G240" s="17"/>
      <c r="H240" s="25"/>
      <c r="I240" s="19">
        <f t="shared" si="14"/>
        <v>0</v>
      </c>
      <c r="J240" s="17"/>
      <c r="K240" s="18">
        <f>IFERROR(SUMIFS(MOVIMIENTOS!$E:$E,MOVIMIENTOS!$C:$C,$A240,MOVIMIENTOS!$B:$B,"ENTRADA"),0)</f>
        <v>0</v>
      </c>
      <c r="L240" s="18">
        <f>IFERROR(SUMIFS(MOVIMIENTOS!$E:$E,MOVIMIENTOS!$C:$C,$A240,MOVIMIENTOS!$B:$B,"SALIDA")+SUMIFS(MOVIMIENTOS!$E:$E,MOVIMIENTOS!$C:$C,$A240,MOVIMIENTOS!$B:$B,"MERMA"),0)</f>
        <v>0</v>
      </c>
      <c r="M240" s="18">
        <f t="shared" si="15"/>
        <v>0</v>
      </c>
      <c r="N240" s="17"/>
      <c r="AO240" s="18" t="str">
        <f t="shared" si="16"/>
        <v>REPONER</v>
      </c>
      <c r="AP240" s="20">
        <f t="shared" si="17"/>
        <v>0</v>
      </c>
      <c r="AQ240" s="17"/>
      <c r="AR240" s="16"/>
    </row>
    <row r="241" spans="1:44">
      <c r="A241" s="17"/>
      <c r="B241" s="17"/>
      <c r="C241" s="17"/>
      <c r="D241" s="17"/>
      <c r="E241" s="17"/>
      <c r="F241" s="17"/>
      <c r="G241" s="17"/>
      <c r="H241" s="25"/>
      <c r="I241" s="19">
        <f t="shared" si="14"/>
        <v>0</v>
      </c>
      <c r="J241" s="17"/>
      <c r="K241" s="18">
        <f>IFERROR(SUMIFS(MOVIMIENTOS!$E:$E,MOVIMIENTOS!$C:$C,$A241,MOVIMIENTOS!$B:$B,"ENTRADA"),0)</f>
        <v>0</v>
      </c>
      <c r="L241" s="18">
        <f>IFERROR(SUMIFS(MOVIMIENTOS!$E:$E,MOVIMIENTOS!$C:$C,$A241,MOVIMIENTOS!$B:$B,"SALIDA")+SUMIFS(MOVIMIENTOS!$E:$E,MOVIMIENTOS!$C:$C,$A241,MOVIMIENTOS!$B:$B,"MERMA"),0)</f>
        <v>0</v>
      </c>
      <c r="M241" s="18">
        <f t="shared" si="15"/>
        <v>0</v>
      </c>
      <c r="N241" s="17"/>
      <c r="AO241" s="18" t="str">
        <f t="shared" si="16"/>
        <v>REPONER</v>
      </c>
      <c r="AP241" s="20">
        <f t="shared" si="17"/>
        <v>0</v>
      </c>
      <c r="AQ241" s="17"/>
      <c r="AR241" s="16"/>
    </row>
    <row r="242" spans="1:44">
      <c r="A242" s="17"/>
      <c r="B242" s="17"/>
      <c r="C242" s="17"/>
      <c r="D242" s="17"/>
      <c r="E242" s="17"/>
      <c r="F242" s="17"/>
      <c r="G242" s="17"/>
      <c r="H242" s="25"/>
      <c r="I242" s="19">
        <f t="shared" si="14"/>
        <v>0</v>
      </c>
      <c r="J242" s="17"/>
      <c r="K242" s="18">
        <f>IFERROR(SUMIFS(MOVIMIENTOS!$E:$E,MOVIMIENTOS!$C:$C,$A242,MOVIMIENTOS!$B:$B,"ENTRADA"),0)</f>
        <v>0</v>
      </c>
      <c r="L242" s="18">
        <f>IFERROR(SUMIFS(MOVIMIENTOS!$E:$E,MOVIMIENTOS!$C:$C,$A242,MOVIMIENTOS!$B:$B,"SALIDA")+SUMIFS(MOVIMIENTOS!$E:$E,MOVIMIENTOS!$C:$C,$A242,MOVIMIENTOS!$B:$B,"MERMA"),0)</f>
        <v>0</v>
      </c>
      <c r="M242" s="18">
        <f t="shared" si="15"/>
        <v>0</v>
      </c>
      <c r="N242" s="17"/>
      <c r="AO242" s="18" t="str">
        <f t="shared" si="16"/>
        <v>REPONER</v>
      </c>
      <c r="AP242" s="20">
        <f t="shared" si="17"/>
        <v>0</v>
      </c>
      <c r="AQ242" s="17"/>
      <c r="AR242" s="16"/>
    </row>
    <row r="243" spans="1:44">
      <c r="A243" s="17"/>
      <c r="B243" s="17"/>
      <c r="C243" s="17"/>
      <c r="D243" s="17"/>
      <c r="E243" s="17"/>
      <c r="F243" s="17"/>
      <c r="G243" s="17"/>
      <c r="H243" s="25"/>
      <c r="I243" s="19">
        <f t="shared" si="14"/>
        <v>0</v>
      </c>
      <c r="J243" s="17"/>
      <c r="K243" s="18">
        <f>IFERROR(SUMIFS(MOVIMIENTOS!$E:$E,MOVIMIENTOS!$C:$C,$A243,MOVIMIENTOS!$B:$B,"ENTRADA"),0)</f>
        <v>0</v>
      </c>
      <c r="L243" s="18">
        <f>IFERROR(SUMIFS(MOVIMIENTOS!$E:$E,MOVIMIENTOS!$C:$C,$A243,MOVIMIENTOS!$B:$B,"SALIDA")+SUMIFS(MOVIMIENTOS!$E:$E,MOVIMIENTOS!$C:$C,$A243,MOVIMIENTOS!$B:$B,"MERMA"),0)</f>
        <v>0</v>
      </c>
      <c r="M243" s="18">
        <f t="shared" si="15"/>
        <v>0</v>
      </c>
      <c r="N243" s="17"/>
      <c r="AO243" s="18" t="str">
        <f t="shared" si="16"/>
        <v>REPONER</v>
      </c>
      <c r="AP243" s="20">
        <f t="shared" si="17"/>
        <v>0</v>
      </c>
      <c r="AQ243" s="17"/>
      <c r="AR243" s="16"/>
    </row>
    <row r="244" spans="1:44">
      <c r="A244" s="17"/>
      <c r="B244" s="17"/>
      <c r="C244" s="17"/>
      <c r="D244" s="17"/>
      <c r="E244" s="17"/>
      <c r="F244" s="17"/>
      <c r="G244" s="17"/>
      <c r="H244" s="25"/>
      <c r="I244" s="19">
        <f t="shared" si="14"/>
        <v>0</v>
      </c>
      <c r="J244" s="17"/>
      <c r="K244" s="18">
        <f>IFERROR(SUMIFS(MOVIMIENTOS!$E:$E,MOVIMIENTOS!$C:$C,$A244,MOVIMIENTOS!$B:$B,"ENTRADA"),0)</f>
        <v>0</v>
      </c>
      <c r="L244" s="18">
        <f>IFERROR(SUMIFS(MOVIMIENTOS!$E:$E,MOVIMIENTOS!$C:$C,$A244,MOVIMIENTOS!$B:$B,"SALIDA")+SUMIFS(MOVIMIENTOS!$E:$E,MOVIMIENTOS!$C:$C,$A244,MOVIMIENTOS!$B:$B,"MERMA"),0)</f>
        <v>0</v>
      </c>
      <c r="M244" s="18">
        <f t="shared" si="15"/>
        <v>0</v>
      </c>
      <c r="N244" s="17"/>
      <c r="AO244" s="18" t="str">
        <f t="shared" si="16"/>
        <v>REPONER</v>
      </c>
      <c r="AP244" s="20">
        <f t="shared" si="17"/>
        <v>0</v>
      </c>
      <c r="AQ244" s="17"/>
      <c r="AR244" s="16"/>
    </row>
    <row r="245" spans="1:44">
      <c r="A245" s="17"/>
      <c r="B245" s="17"/>
      <c r="C245" s="17"/>
      <c r="D245" s="17"/>
      <c r="E245" s="17"/>
      <c r="F245" s="17"/>
      <c r="G245" s="17"/>
      <c r="H245" s="25"/>
      <c r="I245" s="19">
        <f t="shared" si="14"/>
        <v>0</v>
      </c>
      <c r="J245" s="17"/>
      <c r="K245" s="18">
        <f>IFERROR(SUMIFS(MOVIMIENTOS!$E:$E,MOVIMIENTOS!$C:$C,$A245,MOVIMIENTOS!$B:$B,"ENTRADA"),0)</f>
        <v>0</v>
      </c>
      <c r="L245" s="18">
        <f>IFERROR(SUMIFS(MOVIMIENTOS!$E:$E,MOVIMIENTOS!$C:$C,$A245,MOVIMIENTOS!$B:$B,"SALIDA")+SUMIFS(MOVIMIENTOS!$E:$E,MOVIMIENTOS!$C:$C,$A245,MOVIMIENTOS!$B:$B,"MERMA"),0)</f>
        <v>0</v>
      </c>
      <c r="M245" s="18">
        <f t="shared" si="15"/>
        <v>0</v>
      </c>
      <c r="N245" s="17"/>
      <c r="AO245" s="18" t="str">
        <f t="shared" si="16"/>
        <v>REPONER</v>
      </c>
      <c r="AP245" s="20">
        <f t="shared" si="17"/>
        <v>0</v>
      </c>
      <c r="AQ245" s="17"/>
      <c r="AR245" s="16"/>
    </row>
    <row r="246" spans="1:44">
      <c r="A246" s="17"/>
      <c r="B246" s="17"/>
      <c r="C246" s="17"/>
      <c r="D246" s="17"/>
      <c r="E246" s="17"/>
      <c r="F246" s="17"/>
      <c r="G246" s="17"/>
      <c r="H246" s="25"/>
      <c r="I246" s="19">
        <f t="shared" si="14"/>
        <v>0</v>
      </c>
      <c r="J246" s="17"/>
      <c r="K246" s="18">
        <f>IFERROR(SUMIFS(MOVIMIENTOS!$E:$E,MOVIMIENTOS!$C:$C,$A246,MOVIMIENTOS!$B:$B,"ENTRADA"),0)</f>
        <v>0</v>
      </c>
      <c r="L246" s="18">
        <f>IFERROR(SUMIFS(MOVIMIENTOS!$E:$E,MOVIMIENTOS!$C:$C,$A246,MOVIMIENTOS!$B:$B,"SALIDA")+SUMIFS(MOVIMIENTOS!$E:$E,MOVIMIENTOS!$C:$C,$A246,MOVIMIENTOS!$B:$B,"MERMA"),0)</f>
        <v>0</v>
      </c>
      <c r="M246" s="18">
        <f t="shared" si="15"/>
        <v>0</v>
      </c>
      <c r="N246" s="17"/>
      <c r="AO246" s="18" t="str">
        <f t="shared" si="16"/>
        <v>REPONER</v>
      </c>
      <c r="AP246" s="20">
        <f t="shared" si="17"/>
        <v>0</v>
      </c>
      <c r="AQ246" s="17"/>
      <c r="AR246" s="16"/>
    </row>
    <row r="247" spans="1:44">
      <c r="A247" s="17"/>
      <c r="B247" s="17"/>
      <c r="C247" s="17"/>
      <c r="D247" s="17"/>
      <c r="E247" s="17"/>
      <c r="F247" s="17"/>
      <c r="G247" s="17"/>
      <c r="H247" s="25"/>
      <c r="I247" s="19">
        <f t="shared" si="14"/>
        <v>0</v>
      </c>
      <c r="J247" s="17"/>
      <c r="K247" s="18">
        <f>IFERROR(SUMIFS(MOVIMIENTOS!$E:$E,MOVIMIENTOS!$C:$C,$A247,MOVIMIENTOS!$B:$B,"ENTRADA"),0)</f>
        <v>0</v>
      </c>
      <c r="L247" s="18">
        <f>IFERROR(SUMIFS(MOVIMIENTOS!$E:$E,MOVIMIENTOS!$C:$C,$A247,MOVIMIENTOS!$B:$B,"SALIDA")+SUMIFS(MOVIMIENTOS!$E:$E,MOVIMIENTOS!$C:$C,$A247,MOVIMIENTOS!$B:$B,"MERMA"),0)</f>
        <v>0</v>
      </c>
      <c r="M247" s="18">
        <f t="shared" si="15"/>
        <v>0</v>
      </c>
      <c r="N247" s="17"/>
      <c r="AO247" s="18" t="str">
        <f t="shared" si="16"/>
        <v>REPONER</v>
      </c>
      <c r="AP247" s="20">
        <f t="shared" si="17"/>
        <v>0</v>
      </c>
      <c r="AQ247" s="17"/>
      <c r="AR247" s="16"/>
    </row>
    <row r="248" spans="1:44">
      <c r="A248" s="17"/>
      <c r="B248" s="17"/>
      <c r="C248" s="17"/>
      <c r="D248" s="17"/>
      <c r="E248" s="17"/>
      <c r="F248" s="17"/>
      <c r="G248" s="17"/>
      <c r="H248" s="25"/>
      <c r="I248" s="19">
        <f t="shared" si="14"/>
        <v>0</v>
      </c>
      <c r="J248" s="17"/>
      <c r="K248" s="18">
        <f>IFERROR(SUMIFS(MOVIMIENTOS!$E:$E,MOVIMIENTOS!$C:$C,$A248,MOVIMIENTOS!$B:$B,"ENTRADA"),0)</f>
        <v>0</v>
      </c>
      <c r="L248" s="18">
        <f>IFERROR(SUMIFS(MOVIMIENTOS!$E:$E,MOVIMIENTOS!$C:$C,$A248,MOVIMIENTOS!$B:$B,"SALIDA")+SUMIFS(MOVIMIENTOS!$E:$E,MOVIMIENTOS!$C:$C,$A248,MOVIMIENTOS!$B:$B,"MERMA"),0)</f>
        <v>0</v>
      </c>
      <c r="M248" s="18">
        <f t="shared" si="15"/>
        <v>0</v>
      </c>
      <c r="N248" s="17"/>
      <c r="AO248" s="18" t="str">
        <f t="shared" si="16"/>
        <v>REPONER</v>
      </c>
      <c r="AP248" s="20">
        <f t="shared" si="17"/>
        <v>0</v>
      </c>
      <c r="AQ248" s="17"/>
      <c r="AR248" s="16"/>
    </row>
    <row r="249" spans="1:44">
      <c r="A249" s="17"/>
      <c r="B249" s="17"/>
      <c r="C249" s="17"/>
      <c r="D249" s="17"/>
      <c r="E249" s="17"/>
      <c r="F249" s="17"/>
      <c r="G249" s="17"/>
      <c r="H249" s="25"/>
      <c r="I249" s="19">
        <f t="shared" si="14"/>
        <v>0</v>
      </c>
      <c r="J249" s="17"/>
      <c r="K249" s="18">
        <f>IFERROR(SUMIFS(MOVIMIENTOS!$E:$E,MOVIMIENTOS!$C:$C,$A249,MOVIMIENTOS!$B:$B,"ENTRADA"),0)</f>
        <v>0</v>
      </c>
      <c r="L249" s="18">
        <f>IFERROR(SUMIFS(MOVIMIENTOS!$E:$E,MOVIMIENTOS!$C:$C,$A249,MOVIMIENTOS!$B:$B,"SALIDA")+SUMIFS(MOVIMIENTOS!$E:$E,MOVIMIENTOS!$C:$C,$A249,MOVIMIENTOS!$B:$B,"MERMA"),0)</f>
        <v>0</v>
      </c>
      <c r="M249" s="18">
        <f t="shared" si="15"/>
        <v>0</v>
      </c>
      <c r="N249" s="17"/>
      <c r="AO249" s="18" t="str">
        <f t="shared" si="16"/>
        <v>REPONER</v>
      </c>
      <c r="AP249" s="20">
        <f t="shared" si="17"/>
        <v>0</v>
      </c>
      <c r="AQ249" s="17"/>
      <c r="AR249" s="16"/>
    </row>
    <row r="250" spans="1:44">
      <c r="A250" s="17"/>
      <c r="B250" s="17"/>
      <c r="C250" s="17"/>
      <c r="D250" s="17"/>
      <c r="E250" s="17"/>
      <c r="F250" s="17"/>
      <c r="G250" s="17"/>
      <c r="H250" s="25"/>
      <c r="I250" s="19">
        <f t="shared" si="14"/>
        <v>0</v>
      </c>
      <c r="J250" s="17"/>
      <c r="K250" s="18">
        <f>IFERROR(SUMIFS(MOVIMIENTOS!$E:$E,MOVIMIENTOS!$C:$C,$A250,MOVIMIENTOS!$B:$B,"ENTRADA"),0)</f>
        <v>0</v>
      </c>
      <c r="L250" s="18">
        <f>IFERROR(SUMIFS(MOVIMIENTOS!$E:$E,MOVIMIENTOS!$C:$C,$A250,MOVIMIENTOS!$B:$B,"SALIDA")+SUMIFS(MOVIMIENTOS!$E:$E,MOVIMIENTOS!$C:$C,$A250,MOVIMIENTOS!$B:$B,"MERMA"),0)</f>
        <v>0</v>
      </c>
      <c r="M250" s="18">
        <f t="shared" si="15"/>
        <v>0</v>
      </c>
      <c r="N250" s="17"/>
      <c r="AO250" s="18" t="str">
        <f t="shared" si="16"/>
        <v>REPONER</v>
      </c>
      <c r="AP250" s="20">
        <f t="shared" si="17"/>
        <v>0</v>
      </c>
      <c r="AQ250" s="17"/>
      <c r="AR250" s="16"/>
    </row>
    <row r="251" spans="1:44">
      <c r="A251" s="17"/>
      <c r="B251" s="17"/>
      <c r="C251" s="17"/>
      <c r="D251" s="17"/>
      <c r="E251" s="17"/>
      <c r="F251" s="17"/>
      <c r="G251" s="17"/>
      <c r="H251" s="25"/>
      <c r="I251" s="19">
        <f t="shared" si="14"/>
        <v>0</v>
      </c>
      <c r="J251" s="17"/>
      <c r="K251" s="18">
        <f>IFERROR(SUMIFS(MOVIMIENTOS!$E:$E,MOVIMIENTOS!$C:$C,$A251,MOVIMIENTOS!$B:$B,"ENTRADA"),0)</f>
        <v>0</v>
      </c>
      <c r="L251" s="18">
        <f>IFERROR(SUMIFS(MOVIMIENTOS!$E:$E,MOVIMIENTOS!$C:$C,$A251,MOVIMIENTOS!$B:$B,"SALIDA")+SUMIFS(MOVIMIENTOS!$E:$E,MOVIMIENTOS!$C:$C,$A251,MOVIMIENTOS!$B:$B,"MERMA"),0)</f>
        <v>0</v>
      </c>
      <c r="M251" s="18">
        <f t="shared" si="15"/>
        <v>0</v>
      </c>
      <c r="N251" s="17"/>
      <c r="AO251" s="18" t="str">
        <f t="shared" si="16"/>
        <v>REPONER</v>
      </c>
      <c r="AP251" s="20">
        <f t="shared" si="17"/>
        <v>0</v>
      </c>
      <c r="AQ251" s="17"/>
      <c r="AR251" s="16"/>
    </row>
    <row r="252" spans="1:44">
      <c r="A252" s="17"/>
      <c r="B252" s="17"/>
      <c r="C252" s="17"/>
      <c r="D252" s="17"/>
      <c r="E252" s="17"/>
      <c r="F252" s="17"/>
      <c r="G252" s="17"/>
      <c r="H252" s="25"/>
      <c r="I252" s="19">
        <f t="shared" si="14"/>
        <v>0</v>
      </c>
      <c r="J252" s="17"/>
      <c r="K252" s="18">
        <f>IFERROR(SUMIFS(MOVIMIENTOS!$E:$E,MOVIMIENTOS!$C:$C,$A252,MOVIMIENTOS!$B:$B,"ENTRADA"),0)</f>
        <v>0</v>
      </c>
      <c r="L252" s="18">
        <f>IFERROR(SUMIFS(MOVIMIENTOS!$E:$E,MOVIMIENTOS!$C:$C,$A252,MOVIMIENTOS!$B:$B,"SALIDA")+SUMIFS(MOVIMIENTOS!$E:$E,MOVIMIENTOS!$C:$C,$A252,MOVIMIENTOS!$B:$B,"MERMA"),0)</f>
        <v>0</v>
      </c>
      <c r="M252" s="18">
        <f t="shared" si="15"/>
        <v>0</v>
      </c>
      <c r="N252" s="17"/>
      <c r="AO252" s="18" t="str">
        <f t="shared" si="16"/>
        <v>REPONER</v>
      </c>
      <c r="AP252" s="20">
        <f t="shared" si="17"/>
        <v>0</v>
      </c>
      <c r="AQ252" s="17"/>
      <c r="AR252" s="16"/>
    </row>
    <row r="253" spans="1:44">
      <c r="A253" s="17"/>
      <c r="B253" s="17"/>
      <c r="C253" s="17"/>
      <c r="D253" s="17"/>
      <c r="E253" s="17"/>
      <c r="F253" s="17"/>
      <c r="G253" s="17"/>
      <c r="H253" s="25"/>
      <c r="I253" s="19">
        <f t="shared" si="14"/>
        <v>0</v>
      </c>
      <c r="J253" s="17"/>
      <c r="K253" s="18">
        <f>IFERROR(SUMIFS(MOVIMIENTOS!$E:$E,MOVIMIENTOS!$C:$C,$A253,MOVIMIENTOS!$B:$B,"ENTRADA"),0)</f>
        <v>0</v>
      </c>
      <c r="L253" s="18">
        <f>IFERROR(SUMIFS(MOVIMIENTOS!$E:$E,MOVIMIENTOS!$C:$C,$A253,MOVIMIENTOS!$B:$B,"SALIDA")+SUMIFS(MOVIMIENTOS!$E:$E,MOVIMIENTOS!$C:$C,$A253,MOVIMIENTOS!$B:$B,"MERMA"),0)</f>
        <v>0</v>
      </c>
      <c r="M253" s="18">
        <f t="shared" si="15"/>
        <v>0</v>
      </c>
      <c r="N253" s="17"/>
      <c r="AO253" s="18" t="str">
        <f t="shared" si="16"/>
        <v>REPONER</v>
      </c>
      <c r="AP253" s="20">
        <f t="shared" si="17"/>
        <v>0</v>
      </c>
      <c r="AQ253" s="17"/>
      <c r="AR253" s="16"/>
    </row>
    <row r="254" spans="1:44">
      <c r="A254" s="17"/>
      <c r="B254" s="17"/>
      <c r="C254" s="17"/>
      <c r="D254" s="17"/>
      <c r="E254" s="17"/>
      <c r="F254" s="17"/>
      <c r="G254" s="17"/>
      <c r="H254" s="25"/>
      <c r="I254" s="19">
        <f t="shared" si="14"/>
        <v>0</v>
      </c>
      <c r="J254" s="17"/>
      <c r="K254" s="18">
        <f>IFERROR(SUMIFS(MOVIMIENTOS!$E:$E,MOVIMIENTOS!$C:$C,$A254,MOVIMIENTOS!$B:$B,"ENTRADA"),0)</f>
        <v>0</v>
      </c>
      <c r="L254" s="18">
        <f>IFERROR(SUMIFS(MOVIMIENTOS!$E:$E,MOVIMIENTOS!$C:$C,$A254,MOVIMIENTOS!$B:$B,"SALIDA")+SUMIFS(MOVIMIENTOS!$E:$E,MOVIMIENTOS!$C:$C,$A254,MOVIMIENTOS!$B:$B,"MERMA"),0)</f>
        <v>0</v>
      </c>
      <c r="M254" s="18">
        <f t="shared" si="15"/>
        <v>0</v>
      </c>
      <c r="N254" s="17"/>
      <c r="AO254" s="18" t="str">
        <f t="shared" si="16"/>
        <v>REPONER</v>
      </c>
      <c r="AP254" s="20">
        <f t="shared" si="17"/>
        <v>0</v>
      </c>
      <c r="AQ254" s="17"/>
      <c r="AR254" s="16"/>
    </row>
    <row r="255" spans="1:44">
      <c r="A255" s="17"/>
      <c r="B255" s="17"/>
      <c r="C255" s="17"/>
      <c r="D255" s="17"/>
      <c r="E255" s="17"/>
      <c r="F255" s="17"/>
      <c r="G255" s="17"/>
      <c r="H255" s="25"/>
      <c r="I255" s="19">
        <f t="shared" si="14"/>
        <v>0</v>
      </c>
      <c r="J255" s="17"/>
      <c r="K255" s="18">
        <f>IFERROR(SUMIFS(MOVIMIENTOS!$E:$E,MOVIMIENTOS!$C:$C,$A255,MOVIMIENTOS!$B:$B,"ENTRADA"),0)</f>
        <v>0</v>
      </c>
      <c r="L255" s="18">
        <f>IFERROR(SUMIFS(MOVIMIENTOS!$E:$E,MOVIMIENTOS!$C:$C,$A255,MOVIMIENTOS!$B:$B,"SALIDA")+SUMIFS(MOVIMIENTOS!$E:$E,MOVIMIENTOS!$C:$C,$A255,MOVIMIENTOS!$B:$B,"MERMA"),0)</f>
        <v>0</v>
      </c>
      <c r="M255" s="18">
        <f t="shared" si="15"/>
        <v>0</v>
      </c>
      <c r="N255" s="17"/>
      <c r="AO255" s="18" t="str">
        <f t="shared" si="16"/>
        <v>REPONER</v>
      </c>
      <c r="AP255" s="20">
        <f t="shared" si="17"/>
        <v>0</v>
      </c>
      <c r="AQ255" s="17"/>
      <c r="AR255" s="16"/>
    </row>
    <row r="256" spans="1:44">
      <c r="A256" s="17"/>
      <c r="B256" s="17"/>
      <c r="C256" s="17"/>
      <c r="D256" s="17"/>
      <c r="E256" s="17"/>
      <c r="F256" s="17"/>
      <c r="G256" s="17"/>
      <c r="H256" s="25"/>
      <c r="I256" s="19">
        <f t="shared" si="14"/>
        <v>0</v>
      </c>
      <c r="J256" s="17"/>
      <c r="K256" s="18">
        <f>IFERROR(SUMIFS(MOVIMIENTOS!$E:$E,MOVIMIENTOS!$C:$C,$A256,MOVIMIENTOS!$B:$B,"ENTRADA"),0)</f>
        <v>0</v>
      </c>
      <c r="L256" s="18">
        <f>IFERROR(SUMIFS(MOVIMIENTOS!$E:$E,MOVIMIENTOS!$C:$C,$A256,MOVIMIENTOS!$B:$B,"SALIDA")+SUMIFS(MOVIMIENTOS!$E:$E,MOVIMIENTOS!$C:$C,$A256,MOVIMIENTOS!$B:$B,"MERMA"),0)</f>
        <v>0</v>
      </c>
      <c r="M256" s="18">
        <f t="shared" si="15"/>
        <v>0</v>
      </c>
      <c r="N256" s="17"/>
      <c r="AO256" s="18" t="str">
        <f t="shared" si="16"/>
        <v>REPONER</v>
      </c>
      <c r="AP256" s="20">
        <f t="shared" si="17"/>
        <v>0</v>
      </c>
      <c r="AQ256" s="17"/>
      <c r="AR256" s="16"/>
    </row>
    <row r="257" spans="1:44">
      <c r="A257" s="17"/>
      <c r="B257" s="17"/>
      <c r="C257" s="17"/>
      <c r="D257" s="17"/>
      <c r="E257" s="17"/>
      <c r="F257" s="17"/>
      <c r="G257" s="17"/>
      <c r="H257" s="25"/>
      <c r="I257" s="19">
        <f t="shared" si="14"/>
        <v>0</v>
      </c>
      <c r="J257" s="17"/>
      <c r="K257" s="18">
        <f>IFERROR(SUMIFS(MOVIMIENTOS!$E:$E,MOVIMIENTOS!$C:$C,$A257,MOVIMIENTOS!$B:$B,"ENTRADA"),0)</f>
        <v>0</v>
      </c>
      <c r="L257" s="18">
        <f>IFERROR(SUMIFS(MOVIMIENTOS!$E:$E,MOVIMIENTOS!$C:$C,$A257,MOVIMIENTOS!$B:$B,"SALIDA")+SUMIFS(MOVIMIENTOS!$E:$E,MOVIMIENTOS!$C:$C,$A257,MOVIMIENTOS!$B:$B,"MERMA"),0)</f>
        <v>0</v>
      </c>
      <c r="M257" s="18">
        <f t="shared" si="15"/>
        <v>0</v>
      </c>
      <c r="N257" s="17"/>
      <c r="AO257" s="18" t="str">
        <f t="shared" si="16"/>
        <v>REPONER</v>
      </c>
      <c r="AP257" s="20">
        <f t="shared" si="17"/>
        <v>0</v>
      </c>
      <c r="AQ257" s="17"/>
      <c r="AR257" s="16"/>
    </row>
    <row r="258" spans="1:44">
      <c r="A258" s="17"/>
      <c r="B258" s="17"/>
      <c r="C258" s="17"/>
      <c r="D258" s="17"/>
      <c r="E258" s="17"/>
      <c r="F258" s="17"/>
      <c r="G258" s="17"/>
      <c r="H258" s="25"/>
      <c r="I258" s="19">
        <f t="shared" si="14"/>
        <v>0</v>
      </c>
      <c r="J258" s="17"/>
      <c r="K258" s="18">
        <f>IFERROR(SUMIFS(MOVIMIENTOS!$E:$E,MOVIMIENTOS!$C:$C,$A258,MOVIMIENTOS!$B:$B,"ENTRADA"),0)</f>
        <v>0</v>
      </c>
      <c r="L258" s="18">
        <f>IFERROR(SUMIFS(MOVIMIENTOS!$E:$E,MOVIMIENTOS!$C:$C,$A258,MOVIMIENTOS!$B:$B,"SALIDA")+SUMIFS(MOVIMIENTOS!$E:$E,MOVIMIENTOS!$C:$C,$A258,MOVIMIENTOS!$B:$B,"MERMA"),0)</f>
        <v>0</v>
      </c>
      <c r="M258" s="18">
        <f t="shared" si="15"/>
        <v>0</v>
      </c>
      <c r="N258" s="17"/>
      <c r="AO258" s="18" t="str">
        <f t="shared" si="16"/>
        <v>REPONER</v>
      </c>
      <c r="AP258" s="20">
        <f t="shared" si="17"/>
        <v>0</v>
      </c>
      <c r="AQ258" s="17"/>
      <c r="AR258" s="16"/>
    </row>
    <row r="259" spans="1:44">
      <c r="A259" s="17"/>
      <c r="B259" s="17"/>
      <c r="C259" s="17"/>
      <c r="D259" s="17"/>
      <c r="E259" s="17"/>
      <c r="F259" s="17"/>
      <c r="G259" s="17"/>
      <c r="H259" s="25"/>
      <c r="I259" s="19">
        <f t="shared" si="14"/>
        <v>0</v>
      </c>
      <c r="J259" s="17"/>
      <c r="K259" s="18">
        <f>IFERROR(SUMIFS(MOVIMIENTOS!$E:$E,MOVIMIENTOS!$C:$C,$A259,MOVIMIENTOS!$B:$B,"ENTRADA"),0)</f>
        <v>0</v>
      </c>
      <c r="L259" s="18">
        <f>IFERROR(SUMIFS(MOVIMIENTOS!$E:$E,MOVIMIENTOS!$C:$C,$A259,MOVIMIENTOS!$B:$B,"SALIDA")+SUMIFS(MOVIMIENTOS!$E:$E,MOVIMIENTOS!$C:$C,$A259,MOVIMIENTOS!$B:$B,"MERMA"),0)</f>
        <v>0</v>
      </c>
      <c r="M259" s="18">
        <f t="shared" si="15"/>
        <v>0</v>
      </c>
      <c r="N259" s="17"/>
      <c r="AO259" s="18" t="str">
        <f t="shared" si="16"/>
        <v>REPONER</v>
      </c>
      <c r="AP259" s="20">
        <f t="shared" si="17"/>
        <v>0</v>
      </c>
      <c r="AQ259" s="17"/>
      <c r="AR259" s="16"/>
    </row>
    <row r="260" spans="1:44">
      <c r="A260" s="17"/>
      <c r="B260" s="17"/>
      <c r="C260" s="17"/>
      <c r="D260" s="17"/>
      <c r="E260" s="17"/>
      <c r="F260" s="17"/>
      <c r="G260" s="17"/>
      <c r="H260" s="25"/>
      <c r="I260" s="19">
        <f t="shared" si="14"/>
        <v>0</v>
      </c>
      <c r="J260" s="17"/>
      <c r="K260" s="18">
        <f>IFERROR(SUMIFS(MOVIMIENTOS!$E:$E,MOVIMIENTOS!$C:$C,$A260,MOVIMIENTOS!$B:$B,"ENTRADA"),0)</f>
        <v>0</v>
      </c>
      <c r="L260" s="18">
        <f>IFERROR(SUMIFS(MOVIMIENTOS!$E:$E,MOVIMIENTOS!$C:$C,$A260,MOVIMIENTOS!$B:$B,"SALIDA")+SUMIFS(MOVIMIENTOS!$E:$E,MOVIMIENTOS!$C:$C,$A260,MOVIMIENTOS!$B:$B,"MERMA"),0)</f>
        <v>0</v>
      </c>
      <c r="M260" s="18">
        <f t="shared" si="15"/>
        <v>0</v>
      </c>
      <c r="N260" s="17"/>
      <c r="AO260" s="18" t="str">
        <f t="shared" si="16"/>
        <v>REPONER</v>
      </c>
      <c r="AP260" s="20">
        <f t="shared" si="17"/>
        <v>0</v>
      </c>
      <c r="AQ260" s="17"/>
      <c r="AR260" s="16"/>
    </row>
    <row r="261" spans="1:44">
      <c r="A261" s="17"/>
      <c r="B261" s="17"/>
      <c r="C261" s="17"/>
      <c r="D261" s="17"/>
      <c r="E261" s="17"/>
      <c r="F261" s="17"/>
      <c r="G261" s="17"/>
      <c r="H261" s="25"/>
      <c r="I261" s="19">
        <f t="shared" ref="I261:I300" si="18">IFERROR(H261/(G261*E261),0)</f>
        <v>0</v>
      </c>
      <c r="J261" s="17"/>
      <c r="K261" s="18">
        <f>IFERROR(SUMIFS(MOVIMIENTOS!$E:$E,MOVIMIENTOS!$C:$C,$A261,MOVIMIENTOS!$B:$B,"ENTRADA"),0)</f>
        <v>0</v>
      </c>
      <c r="L261" s="18">
        <f>IFERROR(SUMIFS(MOVIMIENTOS!$E:$E,MOVIMIENTOS!$C:$C,$A261,MOVIMIENTOS!$B:$B,"SALIDA")+SUMIFS(MOVIMIENTOS!$E:$E,MOVIMIENTOS!$C:$C,$A261,MOVIMIENTOS!$B:$B,"MERMA"),0)</f>
        <v>0</v>
      </c>
      <c r="M261" s="18">
        <f t="shared" ref="M261:M300" si="19">IFERROR(J261+K261-L261,0)</f>
        <v>0</v>
      </c>
      <c r="N261" s="17"/>
      <c r="AO261" s="18" t="str">
        <f t="shared" ref="AO261:AO300" si="20">IF(M261&lt;=N261,"REPONER","OK")</f>
        <v>REPONER</v>
      </c>
      <c r="AP261" s="20">
        <f t="shared" ref="AP261:AP300" si="21">IFERROR(M261*I261,0)</f>
        <v>0</v>
      </c>
      <c r="AQ261" s="17"/>
      <c r="AR261" s="16"/>
    </row>
    <row r="262" spans="1:44">
      <c r="A262" s="17"/>
      <c r="B262" s="17"/>
      <c r="C262" s="17"/>
      <c r="D262" s="17"/>
      <c r="E262" s="17"/>
      <c r="F262" s="17"/>
      <c r="G262" s="17"/>
      <c r="H262" s="25"/>
      <c r="I262" s="19">
        <f t="shared" si="18"/>
        <v>0</v>
      </c>
      <c r="J262" s="17"/>
      <c r="K262" s="18">
        <f>IFERROR(SUMIFS(MOVIMIENTOS!$E:$E,MOVIMIENTOS!$C:$C,$A262,MOVIMIENTOS!$B:$B,"ENTRADA"),0)</f>
        <v>0</v>
      </c>
      <c r="L262" s="18">
        <f>IFERROR(SUMIFS(MOVIMIENTOS!$E:$E,MOVIMIENTOS!$C:$C,$A262,MOVIMIENTOS!$B:$B,"SALIDA")+SUMIFS(MOVIMIENTOS!$E:$E,MOVIMIENTOS!$C:$C,$A262,MOVIMIENTOS!$B:$B,"MERMA"),0)</f>
        <v>0</v>
      </c>
      <c r="M262" s="18">
        <f t="shared" si="19"/>
        <v>0</v>
      </c>
      <c r="N262" s="17"/>
      <c r="AO262" s="18" t="str">
        <f t="shared" si="20"/>
        <v>REPONER</v>
      </c>
      <c r="AP262" s="20">
        <f t="shared" si="21"/>
        <v>0</v>
      </c>
      <c r="AQ262" s="17"/>
      <c r="AR262" s="16"/>
    </row>
    <row r="263" spans="1:44">
      <c r="A263" s="17"/>
      <c r="B263" s="17"/>
      <c r="C263" s="17"/>
      <c r="D263" s="17"/>
      <c r="E263" s="17"/>
      <c r="F263" s="17"/>
      <c r="G263" s="17"/>
      <c r="H263" s="25"/>
      <c r="I263" s="19">
        <f t="shared" si="18"/>
        <v>0</v>
      </c>
      <c r="J263" s="17"/>
      <c r="K263" s="18">
        <f>IFERROR(SUMIFS(MOVIMIENTOS!$E:$E,MOVIMIENTOS!$C:$C,$A263,MOVIMIENTOS!$B:$B,"ENTRADA"),0)</f>
        <v>0</v>
      </c>
      <c r="L263" s="18">
        <f>IFERROR(SUMIFS(MOVIMIENTOS!$E:$E,MOVIMIENTOS!$C:$C,$A263,MOVIMIENTOS!$B:$B,"SALIDA")+SUMIFS(MOVIMIENTOS!$E:$E,MOVIMIENTOS!$C:$C,$A263,MOVIMIENTOS!$B:$B,"MERMA"),0)</f>
        <v>0</v>
      </c>
      <c r="M263" s="18">
        <f t="shared" si="19"/>
        <v>0</v>
      </c>
      <c r="N263" s="17"/>
      <c r="AO263" s="18" t="str">
        <f t="shared" si="20"/>
        <v>REPONER</v>
      </c>
      <c r="AP263" s="20">
        <f t="shared" si="21"/>
        <v>0</v>
      </c>
      <c r="AQ263" s="17"/>
      <c r="AR263" s="16"/>
    </row>
    <row r="264" spans="1:44">
      <c r="A264" s="17"/>
      <c r="B264" s="17"/>
      <c r="C264" s="17"/>
      <c r="D264" s="17"/>
      <c r="E264" s="17"/>
      <c r="F264" s="17"/>
      <c r="G264" s="17"/>
      <c r="H264" s="25"/>
      <c r="I264" s="19">
        <f t="shared" si="18"/>
        <v>0</v>
      </c>
      <c r="J264" s="17"/>
      <c r="K264" s="18">
        <f>IFERROR(SUMIFS(MOVIMIENTOS!$E:$E,MOVIMIENTOS!$C:$C,$A264,MOVIMIENTOS!$B:$B,"ENTRADA"),0)</f>
        <v>0</v>
      </c>
      <c r="L264" s="18">
        <f>IFERROR(SUMIFS(MOVIMIENTOS!$E:$E,MOVIMIENTOS!$C:$C,$A264,MOVIMIENTOS!$B:$B,"SALIDA")+SUMIFS(MOVIMIENTOS!$E:$E,MOVIMIENTOS!$C:$C,$A264,MOVIMIENTOS!$B:$B,"MERMA"),0)</f>
        <v>0</v>
      </c>
      <c r="M264" s="18">
        <f t="shared" si="19"/>
        <v>0</v>
      </c>
      <c r="N264" s="17"/>
      <c r="AO264" s="18" t="str">
        <f t="shared" si="20"/>
        <v>REPONER</v>
      </c>
      <c r="AP264" s="20">
        <f t="shared" si="21"/>
        <v>0</v>
      </c>
      <c r="AQ264" s="17"/>
      <c r="AR264" s="16"/>
    </row>
    <row r="265" spans="1:44">
      <c r="A265" s="17"/>
      <c r="B265" s="17"/>
      <c r="C265" s="17"/>
      <c r="D265" s="17"/>
      <c r="E265" s="17"/>
      <c r="F265" s="17"/>
      <c r="G265" s="17"/>
      <c r="H265" s="25"/>
      <c r="I265" s="19">
        <f t="shared" si="18"/>
        <v>0</v>
      </c>
      <c r="J265" s="17"/>
      <c r="K265" s="18">
        <f>IFERROR(SUMIFS(MOVIMIENTOS!$E:$E,MOVIMIENTOS!$C:$C,$A265,MOVIMIENTOS!$B:$B,"ENTRADA"),0)</f>
        <v>0</v>
      </c>
      <c r="L265" s="18">
        <f>IFERROR(SUMIFS(MOVIMIENTOS!$E:$E,MOVIMIENTOS!$C:$C,$A265,MOVIMIENTOS!$B:$B,"SALIDA")+SUMIFS(MOVIMIENTOS!$E:$E,MOVIMIENTOS!$C:$C,$A265,MOVIMIENTOS!$B:$B,"MERMA"),0)</f>
        <v>0</v>
      </c>
      <c r="M265" s="18">
        <f t="shared" si="19"/>
        <v>0</v>
      </c>
      <c r="N265" s="17"/>
      <c r="AO265" s="18" t="str">
        <f t="shared" si="20"/>
        <v>REPONER</v>
      </c>
      <c r="AP265" s="20">
        <f t="shared" si="21"/>
        <v>0</v>
      </c>
      <c r="AQ265" s="17"/>
      <c r="AR265" s="16"/>
    </row>
    <row r="266" spans="1:44">
      <c r="A266" s="17"/>
      <c r="B266" s="17"/>
      <c r="C266" s="17"/>
      <c r="D266" s="17"/>
      <c r="E266" s="17"/>
      <c r="F266" s="17"/>
      <c r="G266" s="17"/>
      <c r="H266" s="25"/>
      <c r="I266" s="19">
        <f t="shared" si="18"/>
        <v>0</v>
      </c>
      <c r="J266" s="17"/>
      <c r="K266" s="18">
        <f>IFERROR(SUMIFS(MOVIMIENTOS!$E:$E,MOVIMIENTOS!$C:$C,$A266,MOVIMIENTOS!$B:$B,"ENTRADA"),0)</f>
        <v>0</v>
      </c>
      <c r="L266" s="18">
        <f>IFERROR(SUMIFS(MOVIMIENTOS!$E:$E,MOVIMIENTOS!$C:$C,$A266,MOVIMIENTOS!$B:$B,"SALIDA")+SUMIFS(MOVIMIENTOS!$E:$E,MOVIMIENTOS!$C:$C,$A266,MOVIMIENTOS!$B:$B,"MERMA"),0)</f>
        <v>0</v>
      </c>
      <c r="M266" s="18">
        <f t="shared" si="19"/>
        <v>0</v>
      </c>
      <c r="N266" s="17"/>
      <c r="AO266" s="18" t="str">
        <f t="shared" si="20"/>
        <v>REPONER</v>
      </c>
      <c r="AP266" s="20">
        <f t="shared" si="21"/>
        <v>0</v>
      </c>
      <c r="AQ266" s="17"/>
      <c r="AR266" s="16"/>
    </row>
    <row r="267" spans="1:44">
      <c r="A267" s="17"/>
      <c r="B267" s="17"/>
      <c r="C267" s="17"/>
      <c r="D267" s="17"/>
      <c r="E267" s="17"/>
      <c r="F267" s="17"/>
      <c r="G267" s="17"/>
      <c r="H267" s="25"/>
      <c r="I267" s="19">
        <f t="shared" si="18"/>
        <v>0</v>
      </c>
      <c r="J267" s="17"/>
      <c r="K267" s="18">
        <f>IFERROR(SUMIFS(MOVIMIENTOS!$E:$E,MOVIMIENTOS!$C:$C,$A267,MOVIMIENTOS!$B:$B,"ENTRADA"),0)</f>
        <v>0</v>
      </c>
      <c r="L267" s="18">
        <f>IFERROR(SUMIFS(MOVIMIENTOS!$E:$E,MOVIMIENTOS!$C:$C,$A267,MOVIMIENTOS!$B:$B,"SALIDA")+SUMIFS(MOVIMIENTOS!$E:$E,MOVIMIENTOS!$C:$C,$A267,MOVIMIENTOS!$B:$B,"MERMA"),0)</f>
        <v>0</v>
      </c>
      <c r="M267" s="18">
        <f t="shared" si="19"/>
        <v>0</v>
      </c>
      <c r="N267" s="17"/>
      <c r="AO267" s="18" t="str">
        <f t="shared" si="20"/>
        <v>REPONER</v>
      </c>
      <c r="AP267" s="20">
        <f t="shared" si="21"/>
        <v>0</v>
      </c>
      <c r="AQ267" s="17"/>
      <c r="AR267" s="16"/>
    </row>
    <row r="268" spans="1:44">
      <c r="A268" s="17"/>
      <c r="B268" s="17"/>
      <c r="C268" s="17"/>
      <c r="D268" s="17"/>
      <c r="E268" s="17"/>
      <c r="F268" s="17"/>
      <c r="G268" s="17"/>
      <c r="H268" s="25"/>
      <c r="I268" s="19">
        <f t="shared" si="18"/>
        <v>0</v>
      </c>
      <c r="J268" s="17"/>
      <c r="K268" s="18">
        <f>IFERROR(SUMIFS(MOVIMIENTOS!$E:$E,MOVIMIENTOS!$C:$C,$A268,MOVIMIENTOS!$B:$B,"ENTRADA"),0)</f>
        <v>0</v>
      </c>
      <c r="L268" s="18">
        <f>IFERROR(SUMIFS(MOVIMIENTOS!$E:$E,MOVIMIENTOS!$C:$C,$A268,MOVIMIENTOS!$B:$B,"SALIDA")+SUMIFS(MOVIMIENTOS!$E:$E,MOVIMIENTOS!$C:$C,$A268,MOVIMIENTOS!$B:$B,"MERMA"),0)</f>
        <v>0</v>
      </c>
      <c r="M268" s="18">
        <f t="shared" si="19"/>
        <v>0</v>
      </c>
      <c r="N268" s="17"/>
      <c r="AO268" s="18" t="str">
        <f t="shared" si="20"/>
        <v>REPONER</v>
      </c>
      <c r="AP268" s="20">
        <f t="shared" si="21"/>
        <v>0</v>
      </c>
      <c r="AQ268" s="17"/>
      <c r="AR268" s="16"/>
    </row>
    <row r="269" spans="1:44">
      <c r="A269" s="17"/>
      <c r="B269" s="17"/>
      <c r="C269" s="17"/>
      <c r="D269" s="17"/>
      <c r="E269" s="17"/>
      <c r="F269" s="17"/>
      <c r="G269" s="17"/>
      <c r="H269" s="25"/>
      <c r="I269" s="19">
        <f t="shared" si="18"/>
        <v>0</v>
      </c>
      <c r="J269" s="17"/>
      <c r="K269" s="18">
        <f>IFERROR(SUMIFS(MOVIMIENTOS!$E:$E,MOVIMIENTOS!$C:$C,$A269,MOVIMIENTOS!$B:$B,"ENTRADA"),0)</f>
        <v>0</v>
      </c>
      <c r="L269" s="18">
        <f>IFERROR(SUMIFS(MOVIMIENTOS!$E:$E,MOVIMIENTOS!$C:$C,$A269,MOVIMIENTOS!$B:$B,"SALIDA")+SUMIFS(MOVIMIENTOS!$E:$E,MOVIMIENTOS!$C:$C,$A269,MOVIMIENTOS!$B:$B,"MERMA"),0)</f>
        <v>0</v>
      </c>
      <c r="M269" s="18">
        <f t="shared" si="19"/>
        <v>0</v>
      </c>
      <c r="N269" s="17"/>
      <c r="AO269" s="18" t="str">
        <f t="shared" si="20"/>
        <v>REPONER</v>
      </c>
      <c r="AP269" s="20">
        <f t="shared" si="21"/>
        <v>0</v>
      </c>
      <c r="AQ269" s="17"/>
      <c r="AR269" s="16"/>
    </row>
    <row r="270" spans="1:44">
      <c r="A270" s="17"/>
      <c r="B270" s="17"/>
      <c r="C270" s="17"/>
      <c r="D270" s="17"/>
      <c r="E270" s="17"/>
      <c r="F270" s="17"/>
      <c r="G270" s="17"/>
      <c r="H270" s="25"/>
      <c r="I270" s="19">
        <f t="shared" si="18"/>
        <v>0</v>
      </c>
      <c r="J270" s="17"/>
      <c r="K270" s="18">
        <f>IFERROR(SUMIFS(MOVIMIENTOS!$E:$E,MOVIMIENTOS!$C:$C,$A270,MOVIMIENTOS!$B:$B,"ENTRADA"),0)</f>
        <v>0</v>
      </c>
      <c r="L270" s="18">
        <f>IFERROR(SUMIFS(MOVIMIENTOS!$E:$E,MOVIMIENTOS!$C:$C,$A270,MOVIMIENTOS!$B:$B,"SALIDA")+SUMIFS(MOVIMIENTOS!$E:$E,MOVIMIENTOS!$C:$C,$A270,MOVIMIENTOS!$B:$B,"MERMA"),0)</f>
        <v>0</v>
      </c>
      <c r="M270" s="18">
        <f t="shared" si="19"/>
        <v>0</v>
      </c>
      <c r="N270" s="17"/>
      <c r="AO270" s="18" t="str">
        <f t="shared" si="20"/>
        <v>REPONER</v>
      </c>
      <c r="AP270" s="20">
        <f t="shared" si="21"/>
        <v>0</v>
      </c>
      <c r="AQ270" s="17"/>
      <c r="AR270" s="16"/>
    </row>
    <row r="271" spans="1:44">
      <c r="A271" s="17"/>
      <c r="B271" s="17"/>
      <c r="C271" s="17"/>
      <c r="D271" s="17"/>
      <c r="E271" s="17"/>
      <c r="F271" s="17"/>
      <c r="G271" s="17"/>
      <c r="H271" s="25"/>
      <c r="I271" s="19">
        <f t="shared" si="18"/>
        <v>0</v>
      </c>
      <c r="J271" s="17"/>
      <c r="K271" s="18">
        <f>IFERROR(SUMIFS(MOVIMIENTOS!$E:$E,MOVIMIENTOS!$C:$C,$A271,MOVIMIENTOS!$B:$B,"ENTRADA"),0)</f>
        <v>0</v>
      </c>
      <c r="L271" s="18">
        <f>IFERROR(SUMIFS(MOVIMIENTOS!$E:$E,MOVIMIENTOS!$C:$C,$A271,MOVIMIENTOS!$B:$B,"SALIDA")+SUMIFS(MOVIMIENTOS!$E:$E,MOVIMIENTOS!$C:$C,$A271,MOVIMIENTOS!$B:$B,"MERMA"),0)</f>
        <v>0</v>
      </c>
      <c r="M271" s="18">
        <f t="shared" si="19"/>
        <v>0</v>
      </c>
      <c r="N271" s="17"/>
      <c r="AO271" s="18" t="str">
        <f t="shared" si="20"/>
        <v>REPONER</v>
      </c>
      <c r="AP271" s="20">
        <f t="shared" si="21"/>
        <v>0</v>
      </c>
      <c r="AQ271" s="17"/>
      <c r="AR271" s="16"/>
    </row>
    <row r="272" spans="1:44">
      <c r="A272" s="17"/>
      <c r="B272" s="17"/>
      <c r="C272" s="17"/>
      <c r="D272" s="17"/>
      <c r="E272" s="17"/>
      <c r="F272" s="17"/>
      <c r="G272" s="17"/>
      <c r="H272" s="25"/>
      <c r="I272" s="19">
        <f t="shared" si="18"/>
        <v>0</v>
      </c>
      <c r="J272" s="17"/>
      <c r="K272" s="18">
        <f>IFERROR(SUMIFS(MOVIMIENTOS!$E:$E,MOVIMIENTOS!$C:$C,$A272,MOVIMIENTOS!$B:$B,"ENTRADA"),0)</f>
        <v>0</v>
      </c>
      <c r="L272" s="18">
        <f>IFERROR(SUMIFS(MOVIMIENTOS!$E:$E,MOVIMIENTOS!$C:$C,$A272,MOVIMIENTOS!$B:$B,"SALIDA")+SUMIFS(MOVIMIENTOS!$E:$E,MOVIMIENTOS!$C:$C,$A272,MOVIMIENTOS!$B:$B,"MERMA"),0)</f>
        <v>0</v>
      </c>
      <c r="M272" s="18">
        <f t="shared" si="19"/>
        <v>0</v>
      </c>
      <c r="N272" s="17"/>
      <c r="AO272" s="18" t="str">
        <f t="shared" si="20"/>
        <v>REPONER</v>
      </c>
      <c r="AP272" s="20">
        <f t="shared" si="21"/>
        <v>0</v>
      </c>
      <c r="AQ272" s="17"/>
      <c r="AR272" s="16"/>
    </row>
    <row r="273" spans="1:44">
      <c r="A273" s="17"/>
      <c r="B273" s="17"/>
      <c r="C273" s="17"/>
      <c r="D273" s="17"/>
      <c r="E273" s="17"/>
      <c r="F273" s="17"/>
      <c r="G273" s="17"/>
      <c r="H273" s="25"/>
      <c r="I273" s="19">
        <f t="shared" si="18"/>
        <v>0</v>
      </c>
      <c r="J273" s="17"/>
      <c r="K273" s="18">
        <f>IFERROR(SUMIFS(MOVIMIENTOS!$E:$E,MOVIMIENTOS!$C:$C,$A273,MOVIMIENTOS!$B:$B,"ENTRADA"),0)</f>
        <v>0</v>
      </c>
      <c r="L273" s="18">
        <f>IFERROR(SUMIFS(MOVIMIENTOS!$E:$E,MOVIMIENTOS!$C:$C,$A273,MOVIMIENTOS!$B:$B,"SALIDA")+SUMIFS(MOVIMIENTOS!$E:$E,MOVIMIENTOS!$C:$C,$A273,MOVIMIENTOS!$B:$B,"MERMA"),0)</f>
        <v>0</v>
      </c>
      <c r="M273" s="18">
        <f t="shared" si="19"/>
        <v>0</v>
      </c>
      <c r="N273" s="17"/>
      <c r="AO273" s="18" t="str">
        <f t="shared" si="20"/>
        <v>REPONER</v>
      </c>
      <c r="AP273" s="20">
        <f t="shared" si="21"/>
        <v>0</v>
      </c>
      <c r="AQ273" s="17"/>
      <c r="AR273" s="16"/>
    </row>
    <row r="274" spans="1:44">
      <c r="A274" s="17"/>
      <c r="B274" s="17"/>
      <c r="C274" s="17"/>
      <c r="D274" s="17"/>
      <c r="E274" s="17"/>
      <c r="F274" s="17"/>
      <c r="G274" s="17"/>
      <c r="H274" s="25"/>
      <c r="I274" s="19">
        <f t="shared" si="18"/>
        <v>0</v>
      </c>
      <c r="J274" s="17"/>
      <c r="K274" s="18">
        <f>IFERROR(SUMIFS(MOVIMIENTOS!$E:$E,MOVIMIENTOS!$C:$C,$A274,MOVIMIENTOS!$B:$B,"ENTRADA"),0)</f>
        <v>0</v>
      </c>
      <c r="L274" s="18">
        <f>IFERROR(SUMIFS(MOVIMIENTOS!$E:$E,MOVIMIENTOS!$C:$C,$A274,MOVIMIENTOS!$B:$B,"SALIDA")+SUMIFS(MOVIMIENTOS!$E:$E,MOVIMIENTOS!$C:$C,$A274,MOVIMIENTOS!$B:$B,"MERMA"),0)</f>
        <v>0</v>
      </c>
      <c r="M274" s="18">
        <f t="shared" si="19"/>
        <v>0</v>
      </c>
      <c r="N274" s="17"/>
      <c r="AO274" s="18" t="str">
        <f t="shared" si="20"/>
        <v>REPONER</v>
      </c>
      <c r="AP274" s="20">
        <f t="shared" si="21"/>
        <v>0</v>
      </c>
      <c r="AQ274" s="17"/>
      <c r="AR274" s="16"/>
    </row>
    <row r="275" spans="1:44">
      <c r="A275" s="17"/>
      <c r="B275" s="17"/>
      <c r="C275" s="17"/>
      <c r="D275" s="17"/>
      <c r="E275" s="17"/>
      <c r="F275" s="17"/>
      <c r="G275" s="17"/>
      <c r="H275" s="25"/>
      <c r="I275" s="19">
        <f t="shared" si="18"/>
        <v>0</v>
      </c>
      <c r="J275" s="17"/>
      <c r="K275" s="18">
        <f>IFERROR(SUMIFS(MOVIMIENTOS!$E:$E,MOVIMIENTOS!$C:$C,$A275,MOVIMIENTOS!$B:$B,"ENTRADA"),0)</f>
        <v>0</v>
      </c>
      <c r="L275" s="18">
        <f>IFERROR(SUMIFS(MOVIMIENTOS!$E:$E,MOVIMIENTOS!$C:$C,$A275,MOVIMIENTOS!$B:$B,"SALIDA")+SUMIFS(MOVIMIENTOS!$E:$E,MOVIMIENTOS!$C:$C,$A275,MOVIMIENTOS!$B:$B,"MERMA"),0)</f>
        <v>0</v>
      </c>
      <c r="M275" s="18">
        <f t="shared" si="19"/>
        <v>0</v>
      </c>
      <c r="N275" s="17"/>
      <c r="AO275" s="18" t="str">
        <f t="shared" si="20"/>
        <v>REPONER</v>
      </c>
      <c r="AP275" s="20">
        <f t="shared" si="21"/>
        <v>0</v>
      </c>
      <c r="AQ275" s="17"/>
      <c r="AR275" s="16"/>
    </row>
    <row r="276" spans="1:44">
      <c r="A276" s="17"/>
      <c r="B276" s="17"/>
      <c r="C276" s="17"/>
      <c r="D276" s="17"/>
      <c r="E276" s="17"/>
      <c r="F276" s="17"/>
      <c r="G276" s="17"/>
      <c r="H276" s="25"/>
      <c r="I276" s="19">
        <f t="shared" si="18"/>
        <v>0</v>
      </c>
      <c r="J276" s="17"/>
      <c r="K276" s="18">
        <f>IFERROR(SUMIFS(MOVIMIENTOS!$E:$E,MOVIMIENTOS!$C:$C,$A276,MOVIMIENTOS!$B:$B,"ENTRADA"),0)</f>
        <v>0</v>
      </c>
      <c r="L276" s="18">
        <f>IFERROR(SUMIFS(MOVIMIENTOS!$E:$E,MOVIMIENTOS!$C:$C,$A276,MOVIMIENTOS!$B:$B,"SALIDA")+SUMIFS(MOVIMIENTOS!$E:$E,MOVIMIENTOS!$C:$C,$A276,MOVIMIENTOS!$B:$B,"MERMA"),0)</f>
        <v>0</v>
      </c>
      <c r="M276" s="18">
        <f t="shared" si="19"/>
        <v>0</v>
      </c>
      <c r="N276" s="17"/>
      <c r="AO276" s="18" t="str">
        <f t="shared" si="20"/>
        <v>REPONER</v>
      </c>
      <c r="AP276" s="20">
        <f t="shared" si="21"/>
        <v>0</v>
      </c>
      <c r="AQ276" s="17"/>
      <c r="AR276" s="16"/>
    </row>
    <row r="277" spans="1:44">
      <c r="A277" s="17"/>
      <c r="B277" s="17"/>
      <c r="C277" s="17"/>
      <c r="D277" s="17"/>
      <c r="E277" s="17"/>
      <c r="F277" s="17"/>
      <c r="G277" s="17"/>
      <c r="H277" s="25"/>
      <c r="I277" s="19">
        <f t="shared" si="18"/>
        <v>0</v>
      </c>
      <c r="J277" s="17"/>
      <c r="K277" s="18">
        <f>IFERROR(SUMIFS(MOVIMIENTOS!$E:$E,MOVIMIENTOS!$C:$C,$A277,MOVIMIENTOS!$B:$B,"ENTRADA"),0)</f>
        <v>0</v>
      </c>
      <c r="L277" s="18">
        <f>IFERROR(SUMIFS(MOVIMIENTOS!$E:$E,MOVIMIENTOS!$C:$C,$A277,MOVIMIENTOS!$B:$B,"SALIDA")+SUMIFS(MOVIMIENTOS!$E:$E,MOVIMIENTOS!$C:$C,$A277,MOVIMIENTOS!$B:$B,"MERMA"),0)</f>
        <v>0</v>
      </c>
      <c r="M277" s="18">
        <f t="shared" si="19"/>
        <v>0</v>
      </c>
      <c r="N277" s="17"/>
      <c r="AO277" s="18" t="str">
        <f t="shared" si="20"/>
        <v>REPONER</v>
      </c>
      <c r="AP277" s="20">
        <f t="shared" si="21"/>
        <v>0</v>
      </c>
      <c r="AQ277" s="17"/>
      <c r="AR277" s="16"/>
    </row>
    <row r="278" spans="1:44">
      <c r="A278" s="17"/>
      <c r="B278" s="17"/>
      <c r="C278" s="17"/>
      <c r="D278" s="17"/>
      <c r="E278" s="17"/>
      <c r="F278" s="17"/>
      <c r="G278" s="17"/>
      <c r="H278" s="25"/>
      <c r="I278" s="19">
        <f t="shared" si="18"/>
        <v>0</v>
      </c>
      <c r="J278" s="17"/>
      <c r="K278" s="18">
        <f>IFERROR(SUMIFS(MOVIMIENTOS!$E:$E,MOVIMIENTOS!$C:$C,$A278,MOVIMIENTOS!$B:$B,"ENTRADA"),0)</f>
        <v>0</v>
      </c>
      <c r="L278" s="18">
        <f>IFERROR(SUMIFS(MOVIMIENTOS!$E:$E,MOVIMIENTOS!$C:$C,$A278,MOVIMIENTOS!$B:$B,"SALIDA")+SUMIFS(MOVIMIENTOS!$E:$E,MOVIMIENTOS!$C:$C,$A278,MOVIMIENTOS!$B:$B,"MERMA"),0)</f>
        <v>0</v>
      </c>
      <c r="M278" s="18">
        <f t="shared" si="19"/>
        <v>0</v>
      </c>
      <c r="N278" s="17"/>
      <c r="AO278" s="18" t="str">
        <f t="shared" si="20"/>
        <v>REPONER</v>
      </c>
      <c r="AP278" s="20">
        <f t="shared" si="21"/>
        <v>0</v>
      </c>
      <c r="AQ278" s="17"/>
      <c r="AR278" s="16"/>
    </row>
    <row r="279" spans="1:44">
      <c r="A279" s="17"/>
      <c r="B279" s="17"/>
      <c r="C279" s="17"/>
      <c r="D279" s="17"/>
      <c r="E279" s="17"/>
      <c r="F279" s="17"/>
      <c r="G279" s="17"/>
      <c r="H279" s="25"/>
      <c r="I279" s="19">
        <f t="shared" si="18"/>
        <v>0</v>
      </c>
      <c r="J279" s="17"/>
      <c r="K279" s="18">
        <f>IFERROR(SUMIFS(MOVIMIENTOS!$E:$E,MOVIMIENTOS!$C:$C,$A279,MOVIMIENTOS!$B:$B,"ENTRADA"),0)</f>
        <v>0</v>
      </c>
      <c r="L279" s="18">
        <f>IFERROR(SUMIFS(MOVIMIENTOS!$E:$E,MOVIMIENTOS!$C:$C,$A279,MOVIMIENTOS!$B:$B,"SALIDA")+SUMIFS(MOVIMIENTOS!$E:$E,MOVIMIENTOS!$C:$C,$A279,MOVIMIENTOS!$B:$B,"MERMA"),0)</f>
        <v>0</v>
      </c>
      <c r="M279" s="18">
        <f t="shared" si="19"/>
        <v>0</v>
      </c>
      <c r="N279" s="17"/>
      <c r="AO279" s="18" t="str">
        <f t="shared" si="20"/>
        <v>REPONER</v>
      </c>
      <c r="AP279" s="20">
        <f t="shared" si="21"/>
        <v>0</v>
      </c>
      <c r="AQ279" s="17"/>
      <c r="AR279" s="16"/>
    </row>
    <row r="280" spans="1:44">
      <c r="A280" s="17"/>
      <c r="B280" s="17"/>
      <c r="C280" s="17"/>
      <c r="D280" s="17"/>
      <c r="E280" s="17"/>
      <c r="F280" s="17"/>
      <c r="G280" s="17"/>
      <c r="H280" s="25"/>
      <c r="I280" s="19">
        <f t="shared" si="18"/>
        <v>0</v>
      </c>
      <c r="J280" s="17"/>
      <c r="K280" s="18">
        <f>IFERROR(SUMIFS(MOVIMIENTOS!$E:$E,MOVIMIENTOS!$C:$C,$A280,MOVIMIENTOS!$B:$B,"ENTRADA"),0)</f>
        <v>0</v>
      </c>
      <c r="L280" s="18">
        <f>IFERROR(SUMIFS(MOVIMIENTOS!$E:$E,MOVIMIENTOS!$C:$C,$A280,MOVIMIENTOS!$B:$B,"SALIDA")+SUMIFS(MOVIMIENTOS!$E:$E,MOVIMIENTOS!$C:$C,$A280,MOVIMIENTOS!$B:$B,"MERMA"),0)</f>
        <v>0</v>
      </c>
      <c r="M280" s="18">
        <f t="shared" si="19"/>
        <v>0</v>
      </c>
      <c r="N280" s="17"/>
      <c r="AO280" s="18" t="str">
        <f t="shared" si="20"/>
        <v>REPONER</v>
      </c>
      <c r="AP280" s="20">
        <f t="shared" si="21"/>
        <v>0</v>
      </c>
      <c r="AQ280" s="17"/>
      <c r="AR280" s="16"/>
    </row>
    <row r="281" spans="1:44">
      <c r="A281" s="17"/>
      <c r="B281" s="17"/>
      <c r="C281" s="17"/>
      <c r="D281" s="17"/>
      <c r="E281" s="17"/>
      <c r="F281" s="17"/>
      <c r="G281" s="17"/>
      <c r="H281" s="25"/>
      <c r="I281" s="19">
        <f t="shared" si="18"/>
        <v>0</v>
      </c>
      <c r="J281" s="17"/>
      <c r="K281" s="18">
        <f>IFERROR(SUMIFS(MOVIMIENTOS!$E:$E,MOVIMIENTOS!$C:$C,$A281,MOVIMIENTOS!$B:$B,"ENTRADA"),0)</f>
        <v>0</v>
      </c>
      <c r="L281" s="18">
        <f>IFERROR(SUMIFS(MOVIMIENTOS!$E:$E,MOVIMIENTOS!$C:$C,$A281,MOVIMIENTOS!$B:$B,"SALIDA")+SUMIFS(MOVIMIENTOS!$E:$E,MOVIMIENTOS!$C:$C,$A281,MOVIMIENTOS!$B:$B,"MERMA"),0)</f>
        <v>0</v>
      </c>
      <c r="M281" s="18">
        <f t="shared" si="19"/>
        <v>0</v>
      </c>
      <c r="N281" s="17"/>
      <c r="AO281" s="18" t="str">
        <f t="shared" si="20"/>
        <v>REPONER</v>
      </c>
      <c r="AP281" s="20">
        <f t="shared" si="21"/>
        <v>0</v>
      </c>
      <c r="AQ281" s="17"/>
      <c r="AR281" s="16"/>
    </row>
    <row r="282" spans="1:44">
      <c r="A282" s="17"/>
      <c r="B282" s="17"/>
      <c r="C282" s="17"/>
      <c r="D282" s="17"/>
      <c r="E282" s="17"/>
      <c r="F282" s="17"/>
      <c r="G282" s="17"/>
      <c r="H282" s="25"/>
      <c r="I282" s="19">
        <f t="shared" si="18"/>
        <v>0</v>
      </c>
      <c r="J282" s="17"/>
      <c r="K282" s="18">
        <f>IFERROR(SUMIFS(MOVIMIENTOS!$E:$E,MOVIMIENTOS!$C:$C,$A282,MOVIMIENTOS!$B:$B,"ENTRADA"),0)</f>
        <v>0</v>
      </c>
      <c r="L282" s="18">
        <f>IFERROR(SUMIFS(MOVIMIENTOS!$E:$E,MOVIMIENTOS!$C:$C,$A282,MOVIMIENTOS!$B:$B,"SALIDA")+SUMIFS(MOVIMIENTOS!$E:$E,MOVIMIENTOS!$C:$C,$A282,MOVIMIENTOS!$B:$B,"MERMA"),0)</f>
        <v>0</v>
      </c>
      <c r="M282" s="18">
        <f t="shared" si="19"/>
        <v>0</v>
      </c>
      <c r="N282" s="17"/>
      <c r="AO282" s="18" t="str">
        <f t="shared" si="20"/>
        <v>REPONER</v>
      </c>
      <c r="AP282" s="20">
        <f t="shared" si="21"/>
        <v>0</v>
      </c>
      <c r="AQ282" s="17"/>
      <c r="AR282" s="16"/>
    </row>
    <row r="283" spans="1:44">
      <c r="A283" s="17"/>
      <c r="B283" s="17"/>
      <c r="C283" s="17"/>
      <c r="D283" s="17"/>
      <c r="E283" s="17"/>
      <c r="F283" s="17"/>
      <c r="G283" s="17"/>
      <c r="H283" s="25"/>
      <c r="I283" s="19">
        <f t="shared" si="18"/>
        <v>0</v>
      </c>
      <c r="J283" s="17"/>
      <c r="K283" s="18">
        <f>IFERROR(SUMIFS(MOVIMIENTOS!$E:$E,MOVIMIENTOS!$C:$C,$A283,MOVIMIENTOS!$B:$B,"ENTRADA"),0)</f>
        <v>0</v>
      </c>
      <c r="L283" s="18">
        <f>IFERROR(SUMIFS(MOVIMIENTOS!$E:$E,MOVIMIENTOS!$C:$C,$A283,MOVIMIENTOS!$B:$B,"SALIDA")+SUMIFS(MOVIMIENTOS!$E:$E,MOVIMIENTOS!$C:$C,$A283,MOVIMIENTOS!$B:$B,"MERMA"),0)</f>
        <v>0</v>
      </c>
      <c r="M283" s="18">
        <f t="shared" si="19"/>
        <v>0</v>
      </c>
      <c r="N283" s="17"/>
      <c r="AO283" s="18" t="str">
        <f t="shared" si="20"/>
        <v>REPONER</v>
      </c>
      <c r="AP283" s="20">
        <f t="shared" si="21"/>
        <v>0</v>
      </c>
      <c r="AQ283" s="17"/>
      <c r="AR283" s="16"/>
    </row>
    <row r="284" spans="1:44">
      <c r="A284" s="17"/>
      <c r="B284" s="17"/>
      <c r="C284" s="17"/>
      <c r="D284" s="17"/>
      <c r="E284" s="17"/>
      <c r="F284" s="17"/>
      <c r="G284" s="17"/>
      <c r="H284" s="25"/>
      <c r="I284" s="19">
        <f t="shared" si="18"/>
        <v>0</v>
      </c>
      <c r="J284" s="17"/>
      <c r="K284" s="18">
        <f>IFERROR(SUMIFS(MOVIMIENTOS!$E:$E,MOVIMIENTOS!$C:$C,$A284,MOVIMIENTOS!$B:$B,"ENTRADA"),0)</f>
        <v>0</v>
      </c>
      <c r="L284" s="18">
        <f>IFERROR(SUMIFS(MOVIMIENTOS!$E:$E,MOVIMIENTOS!$C:$C,$A284,MOVIMIENTOS!$B:$B,"SALIDA")+SUMIFS(MOVIMIENTOS!$E:$E,MOVIMIENTOS!$C:$C,$A284,MOVIMIENTOS!$B:$B,"MERMA"),0)</f>
        <v>0</v>
      </c>
      <c r="M284" s="18">
        <f t="shared" si="19"/>
        <v>0</v>
      </c>
      <c r="N284" s="17"/>
      <c r="AO284" s="18" t="str">
        <f t="shared" si="20"/>
        <v>REPONER</v>
      </c>
      <c r="AP284" s="20">
        <f t="shared" si="21"/>
        <v>0</v>
      </c>
      <c r="AQ284" s="17"/>
      <c r="AR284" s="16"/>
    </row>
    <row r="285" spans="1:44">
      <c r="A285" s="17"/>
      <c r="B285" s="17"/>
      <c r="C285" s="17"/>
      <c r="D285" s="17"/>
      <c r="E285" s="17"/>
      <c r="F285" s="17"/>
      <c r="G285" s="17"/>
      <c r="H285" s="25"/>
      <c r="I285" s="19">
        <f t="shared" si="18"/>
        <v>0</v>
      </c>
      <c r="J285" s="17"/>
      <c r="K285" s="18">
        <f>IFERROR(SUMIFS(MOVIMIENTOS!$E:$E,MOVIMIENTOS!$C:$C,$A285,MOVIMIENTOS!$B:$B,"ENTRADA"),0)</f>
        <v>0</v>
      </c>
      <c r="L285" s="18">
        <f>IFERROR(SUMIFS(MOVIMIENTOS!$E:$E,MOVIMIENTOS!$C:$C,$A285,MOVIMIENTOS!$B:$B,"SALIDA")+SUMIFS(MOVIMIENTOS!$E:$E,MOVIMIENTOS!$C:$C,$A285,MOVIMIENTOS!$B:$B,"MERMA"),0)</f>
        <v>0</v>
      </c>
      <c r="M285" s="18">
        <f t="shared" si="19"/>
        <v>0</v>
      </c>
      <c r="N285" s="17"/>
      <c r="AO285" s="18" t="str">
        <f t="shared" si="20"/>
        <v>REPONER</v>
      </c>
      <c r="AP285" s="20">
        <f t="shared" si="21"/>
        <v>0</v>
      </c>
      <c r="AQ285" s="17"/>
      <c r="AR285" s="16"/>
    </row>
    <row r="286" spans="1:44">
      <c r="A286" s="17"/>
      <c r="B286" s="17"/>
      <c r="C286" s="17"/>
      <c r="D286" s="17"/>
      <c r="E286" s="17"/>
      <c r="F286" s="17"/>
      <c r="G286" s="17"/>
      <c r="H286" s="25"/>
      <c r="I286" s="19">
        <f t="shared" si="18"/>
        <v>0</v>
      </c>
      <c r="J286" s="17"/>
      <c r="K286" s="18">
        <f>IFERROR(SUMIFS(MOVIMIENTOS!$E:$E,MOVIMIENTOS!$C:$C,$A286,MOVIMIENTOS!$B:$B,"ENTRADA"),0)</f>
        <v>0</v>
      </c>
      <c r="L286" s="18">
        <f>IFERROR(SUMIFS(MOVIMIENTOS!$E:$E,MOVIMIENTOS!$C:$C,$A286,MOVIMIENTOS!$B:$B,"SALIDA")+SUMIFS(MOVIMIENTOS!$E:$E,MOVIMIENTOS!$C:$C,$A286,MOVIMIENTOS!$B:$B,"MERMA"),0)</f>
        <v>0</v>
      </c>
      <c r="M286" s="18">
        <f t="shared" si="19"/>
        <v>0</v>
      </c>
      <c r="N286" s="17"/>
      <c r="AO286" s="18" t="str">
        <f t="shared" si="20"/>
        <v>REPONER</v>
      </c>
      <c r="AP286" s="20">
        <f t="shared" si="21"/>
        <v>0</v>
      </c>
      <c r="AQ286" s="17"/>
      <c r="AR286" s="16"/>
    </row>
    <row r="287" spans="1:44">
      <c r="A287" s="17"/>
      <c r="B287" s="17"/>
      <c r="C287" s="17"/>
      <c r="D287" s="17"/>
      <c r="E287" s="17"/>
      <c r="F287" s="17"/>
      <c r="G287" s="17"/>
      <c r="H287" s="25"/>
      <c r="I287" s="19">
        <f t="shared" si="18"/>
        <v>0</v>
      </c>
      <c r="J287" s="17"/>
      <c r="K287" s="18">
        <f>IFERROR(SUMIFS(MOVIMIENTOS!$E:$E,MOVIMIENTOS!$C:$C,$A287,MOVIMIENTOS!$B:$B,"ENTRADA"),0)</f>
        <v>0</v>
      </c>
      <c r="L287" s="18">
        <f>IFERROR(SUMIFS(MOVIMIENTOS!$E:$E,MOVIMIENTOS!$C:$C,$A287,MOVIMIENTOS!$B:$B,"SALIDA")+SUMIFS(MOVIMIENTOS!$E:$E,MOVIMIENTOS!$C:$C,$A287,MOVIMIENTOS!$B:$B,"MERMA"),0)</f>
        <v>0</v>
      </c>
      <c r="M287" s="18">
        <f t="shared" si="19"/>
        <v>0</v>
      </c>
      <c r="N287" s="17"/>
      <c r="AO287" s="18" t="str">
        <f t="shared" si="20"/>
        <v>REPONER</v>
      </c>
      <c r="AP287" s="20">
        <f t="shared" si="21"/>
        <v>0</v>
      </c>
      <c r="AQ287" s="17"/>
      <c r="AR287" s="16"/>
    </row>
    <row r="288" spans="1:44">
      <c r="A288" s="17"/>
      <c r="B288" s="17"/>
      <c r="C288" s="17"/>
      <c r="D288" s="17"/>
      <c r="E288" s="17"/>
      <c r="F288" s="17"/>
      <c r="G288" s="17"/>
      <c r="H288" s="25"/>
      <c r="I288" s="19">
        <f t="shared" si="18"/>
        <v>0</v>
      </c>
      <c r="J288" s="17"/>
      <c r="K288" s="18">
        <f>IFERROR(SUMIFS(MOVIMIENTOS!$E:$E,MOVIMIENTOS!$C:$C,$A288,MOVIMIENTOS!$B:$B,"ENTRADA"),0)</f>
        <v>0</v>
      </c>
      <c r="L288" s="18">
        <f>IFERROR(SUMIFS(MOVIMIENTOS!$E:$E,MOVIMIENTOS!$C:$C,$A288,MOVIMIENTOS!$B:$B,"SALIDA")+SUMIFS(MOVIMIENTOS!$E:$E,MOVIMIENTOS!$C:$C,$A288,MOVIMIENTOS!$B:$B,"MERMA"),0)</f>
        <v>0</v>
      </c>
      <c r="M288" s="18">
        <f t="shared" si="19"/>
        <v>0</v>
      </c>
      <c r="N288" s="17"/>
      <c r="AO288" s="18" t="str">
        <f t="shared" si="20"/>
        <v>REPONER</v>
      </c>
      <c r="AP288" s="20">
        <f t="shared" si="21"/>
        <v>0</v>
      </c>
      <c r="AQ288" s="17"/>
      <c r="AR288" s="16"/>
    </row>
    <row r="289" spans="1:44">
      <c r="A289" s="17"/>
      <c r="B289" s="17"/>
      <c r="C289" s="17"/>
      <c r="D289" s="17"/>
      <c r="E289" s="17"/>
      <c r="F289" s="17"/>
      <c r="G289" s="17"/>
      <c r="H289" s="25"/>
      <c r="I289" s="19">
        <f t="shared" si="18"/>
        <v>0</v>
      </c>
      <c r="J289" s="17"/>
      <c r="K289" s="18">
        <f>IFERROR(SUMIFS(MOVIMIENTOS!$E:$E,MOVIMIENTOS!$C:$C,$A289,MOVIMIENTOS!$B:$B,"ENTRADA"),0)</f>
        <v>0</v>
      </c>
      <c r="L289" s="18">
        <f>IFERROR(SUMIFS(MOVIMIENTOS!$E:$E,MOVIMIENTOS!$C:$C,$A289,MOVIMIENTOS!$B:$B,"SALIDA")+SUMIFS(MOVIMIENTOS!$E:$E,MOVIMIENTOS!$C:$C,$A289,MOVIMIENTOS!$B:$B,"MERMA"),0)</f>
        <v>0</v>
      </c>
      <c r="M289" s="18">
        <f t="shared" si="19"/>
        <v>0</v>
      </c>
      <c r="N289" s="17"/>
      <c r="AO289" s="18" t="str">
        <f t="shared" si="20"/>
        <v>REPONER</v>
      </c>
      <c r="AP289" s="20">
        <f t="shared" si="21"/>
        <v>0</v>
      </c>
      <c r="AQ289" s="17"/>
      <c r="AR289" s="16"/>
    </row>
    <row r="290" spans="1:44">
      <c r="A290" s="17"/>
      <c r="B290" s="17"/>
      <c r="C290" s="17"/>
      <c r="D290" s="17"/>
      <c r="E290" s="17"/>
      <c r="F290" s="17"/>
      <c r="G290" s="17"/>
      <c r="H290" s="25"/>
      <c r="I290" s="19">
        <f t="shared" si="18"/>
        <v>0</v>
      </c>
      <c r="J290" s="17"/>
      <c r="K290" s="18">
        <f>IFERROR(SUMIFS(MOVIMIENTOS!$E:$E,MOVIMIENTOS!$C:$C,$A290,MOVIMIENTOS!$B:$B,"ENTRADA"),0)</f>
        <v>0</v>
      </c>
      <c r="L290" s="18">
        <f>IFERROR(SUMIFS(MOVIMIENTOS!$E:$E,MOVIMIENTOS!$C:$C,$A290,MOVIMIENTOS!$B:$B,"SALIDA")+SUMIFS(MOVIMIENTOS!$E:$E,MOVIMIENTOS!$C:$C,$A290,MOVIMIENTOS!$B:$B,"MERMA"),0)</f>
        <v>0</v>
      </c>
      <c r="M290" s="18">
        <f t="shared" si="19"/>
        <v>0</v>
      </c>
      <c r="N290" s="17"/>
      <c r="AO290" s="18" t="str">
        <f t="shared" si="20"/>
        <v>REPONER</v>
      </c>
      <c r="AP290" s="20">
        <f t="shared" si="21"/>
        <v>0</v>
      </c>
      <c r="AQ290" s="17"/>
      <c r="AR290" s="16"/>
    </row>
    <row r="291" spans="1:44">
      <c r="A291" s="17"/>
      <c r="B291" s="17"/>
      <c r="C291" s="17"/>
      <c r="D291" s="17"/>
      <c r="E291" s="17"/>
      <c r="F291" s="17"/>
      <c r="G291" s="17"/>
      <c r="H291" s="25"/>
      <c r="I291" s="19">
        <f t="shared" si="18"/>
        <v>0</v>
      </c>
      <c r="J291" s="17"/>
      <c r="K291" s="18">
        <f>IFERROR(SUMIFS(MOVIMIENTOS!$E:$E,MOVIMIENTOS!$C:$C,$A291,MOVIMIENTOS!$B:$B,"ENTRADA"),0)</f>
        <v>0</v>
      </c>
      <c r="L291" s="18">
        <f>IFERROR(SUMIFS(MOVIMIENTOS!$E:$E,MOVIMIENTOS!$C:$C,$A291,MOVIMIENTOS!$B:$B,"SALIDA")+SUMIFS(MOVIMIENTOS!$E:$E,MOVIMIENTOS!$C:$C,$A291,MOVIMIENTOS!$B:$B,"MERMA"),0)</f>
        <v>0</v>
      </c>
      <c r="M291" s="18">
        <f t="shared" si="19"/>
        <v>0</v>
      </c>
      <c r="N291" s="17"/>
      <c r="AO291" s="18" t="str">
        <f t="shared" si="20"/>
        <v>REPONER</v>
      </c>
      <c r="AP291" s="20">
        <f t="shared" si="21"/>
        <v>0</v>
      </c>
      <c r="AQ291" s="17"/>
      <c r="AR291" s="16"/>
    </row>
    <row r="292" spans="1:44">
      <c r="A292" s="17"/>
      <c r="B292" s="17"/>
      <c r="C292" s="17"/>
      <c r="D292" s="17"/>
      <c r="E292" s="17"/>
      <c r="F292" s="17"/>
      <c r="G292" s="17"/>
      <c r="H292" s="25"/>
      <c r="I292" s="19">
        <f t="shared" si="18"/>
        <v>0</v>
      </c>
      <c r="J292" s="17"/>
      <c r="K292" s="18">
        <f>IFERROR(SUMIFS(MOVIMIENTOS!$E:$E,MOVIMIENTOS!$C:$C,$A292,MOVIMIENTOS!$B:$B,"ENTRADA"),0)</f>
        <v>0</v>
      </c>
      <c r="L292" s="18">
        <f>IFERROR(SUMIFS(MOVIMIENTOS!$E:$E,MOVIMIENTOS!$C:$C,$A292,MOVIMIENTOS!$B:$B,"SALIDA")+SUMIFS(MOVIMIENTOS!$E:$E,MOVIMIENTOS!$C:$C,$A292,MOVIMIENTOS!$B:$B,"MERMA"),0)</f>
        <v>0</v>
      </c>
      <c r="M292" s="18">
        <f t="shared" si="19"/>
        <v>0</v>
      </c>
      <c r="N292" s="17"/>
      <c r="AO292" s="18" t="str">
        <f t="shared" si="20"/>
        <v>REPONER</v>
      </c>
      <c r="AP292" s="20">
        <f t="shared" si="21"/>
        <v>0</v>
      </c>
      <c r="AQ292" s="17"/>
      <c r="AR292" s="16"/>
    </row>
    <row r="293" spans="1:44">
      <c r="A293" s="17"/>
      <c r="B293" s="17"/>
      <c r="C293" s="17"/>
      <c r="D293" s="17"/>
      <c r="E293" s="17"/>
      <c r="F293" s="17"/>
      <c r="G293" s="17"/>
      <c r="H293" s="25"/>
      <c r="I293" s="19">
        <f t="shared" si="18"/>
        <v>0</v>
      </c>
      <c r="J293" s="17"/>
      <c r="K293" s="18">
        <f>IFERROR(SUMIFS(MOVIMIENTOS!$E:$E,MOVIMIENTOS!$C:$C,$A293,MOVIMIENTOS!$B:$B,"ENTRADA"),0)</f>
        <v>0</v>
      </c>
      <c r="L293" s="18">
        <f>IFERROR(SUMIFS(MOVIMIENTOS!$E:$E,MOVIMIENTOS!$C:$C,$A293,MOVIMIENTOS!$B:$B,"SALIDA")+SUMIFS(MOVIMIENTOS!$E:$E,MOVIMIENTOS!$C:$C,$A293,MOVIMIENTOS!$B:$B,"MERMA"),0)</f>
        <v>0</v>
      </c>
      <c r="M293" s="18">
        <f t="shared" si="19"/>
        <v>0</v>
      </c>
      <c r="N293" s="17"/>
      <c r="AO293" s="18" t="str">
        <f t="shared" si="20"/>
        <v>REPONER</v>
      </c>
      <c r="AP293" s="20">
        <f t="shared" si="21"/>
        <v>0</v>
      </c>
      <c r="AQ293" s="17"/>
      <c r="AR293" s="16"/>
    </row>
    <row r="294" spans="1:44">
      <c r="A294" s="17"/>
      <c r="B294" s="17"/>
      <c r="C294" s="17"/>
      <c r="D294" s="17"/>
      <c r="E294" s="17"/>
      <c r="F294" s="17"/>
      <c r="G294" s="17"/>
      <c r="H294" s="25"/>
      <c r="I294" s="19">
        <f t="shared" si="18"/>
        <v>0</v>
      </c>
      <c r="J294" s="17"/>
      <c r="K294" s="18">
        <f>IFERROR(SUMIFS(MOVIMIENTOS!$E:$E,MOVIMIENTOS!$C:$C,$A294,MOVIMIENTOS!$B:$B,"ENTRADA"),0)</f>
        <v>0</v>
      </c>
      <c r="L294" s="18">
        <f>IFERROR(SUMIFS(MOVIMIENTOS!$E:$E,MOVIMIENTOS!$C:$C,$A294,MOVIMIENTOS!$B:$B,"SALIDA")+SUMIFS(MOVIMIENTOS!$E:$E,MOVIMIENTOS!$C:$C,$A294,MOVIMIENTOS!$B:$B,"MERMA"),0)</f>
        <v>0</v>
      </c>
      <c r="M294" s="18">
        <f t="shared" si="19"/>
        <v>0</v>
      </c>
      <c r="N294" s="17"/>
      <c r="AO294" s="18" t="str">
        <f t="shared" si="20"/>
        <v>REPONER</v>
      </c>
      <c r="AP294" s="20">
        <f t="shared" si="21"/>
        <v>0</v>
      </c>
      <c r="AQ294" s="17"/>
      <c r="AR294" s="16"/>
    </row>
    <row r="295" spans="1:44">
      <c r="A295" s="17"/>
      <c r="B295" s="17"/>
      <c r="C295" s="17"/>
      <c r="D295" s="17"/>
      <c r="E295" s="17"/>
      <c r="F295" s="17"/>
      <c r="G295" s="17"/>
      <c r="H295" s="25"/>
      <c r="I295" s="19">
        <f t="shared" si="18"/>
        <v>0</v>
      </c>
      <c r="J295" s="17"/>
      <c r="K295" s="18">
        <f>IFERROR(SUMIFS(MOVIMIENTOS!$E:$E,MOVIMIENTOS!$C:$C,$A295,MOVIMIENTOS!$B:$B,"ENTRADA"),0)</f>
        <v>0</v>
      </c>
      <c r="L295" s="18">
        <f>IFERROR(SUMIFS(MOVIMIENTOS!$E:$E,MOVIMIENTOS!$C:$C,$A295,MOVIMIENTOS!$B:$B,"SALIDA")+SUMIFS(MOVIMIENTOS!$E:$E,MOVIMIENTOS!$C:$C,$A295,MOVIMIENTOS!$B:$B,"MERMA"),0)</f>
        <v>0</v>
      </c>
      <c r="M295" s="18">
        <f t="shared" si="19"/>
        <v>0</v>
      </c>
      <c r="N295" s="17"/>
      <c r="AO295" s="18" t="str">
        <f t="shared" si="20"/>
        <v>REPONER</v>
      </c>
      <c r="AP295" s="20">
        <f t="shared" si="21"/>
        <v>0</v>
      </c>
      <c r="AQ295" s="17"/>
      <c r="AR295" s="16"/>
    </row>
    <row r="296" spans="1:44">
      <c r="A296" s="17"/>
      <c r="B296" s="17"/>
      <c r="C296" s="17"/>
      <c r="D296" s="17"/>
      <c r="E296" s="17"/>
      <c r="F296" s="17"/>
      <c r="G296" s="17"/>
      <c r="H296" s="25"/>
      <c r="I296" s="19">
        <f t="shared" si="18"/>
        <v>0</v>
      </c>
      <c r="J296" s="17"/>
      <c r="K296" s="18">
        <f>IFERROR(SUMIFS(MOVIMIENTOS!$E:$E,MOVIMIENTOS!$C:$C,$A296,MOVIMIENTOS!$B:$B,"ENTRADA"),0)</f>
        <v>0</v>
      </c>
      <c r="L296" s="18">
        <f>IFERROR(SUMIFS(MOVIMIENTOS!$E:$E,MOVIMIENTOS!$C:$C,$A296,MOVIMIENTOS!$B:$B,"SALIDA")+SUMIFS(MOVIMIENTOS!$E:$E,MOVIMIENTOS!$C:$C,$A296,MOVIMIENTOS!$B:$B,"MERMA"),0)</f>
        <v>0</v>
      </c>
      <c r="M296" s="18">
        <f t="shared" si="19"/>
        <v>0</v>
      </c>
      <c r="N296" s="17"/>
      <c r="AO296" s="18" t="str">
        <f t="shared" si="20"/>
        <v>REPONER</v>
      </c>
      <c r="AP296" s="20">
        <f t="shared" si="21"/>
        <v>0</v>
      </c>
      <c r="AQ296" s="17"/>
      <c r="AR296" s="16"/>
    </row>
    <row r="297" spans="1:44">
      <c r="A297" s="17"/>
      <c r="B297" s="17"/>
      <c r="C297" s="17"/>
      <c r="D297" s="17"/>
      <c r="E297" s="17"/>
      <c r="F297" s="17"/>
      <c r="G297" s="17"/>
      <c r="H297" s="25"/>
      <c r="I297" s="19">
        <f t="shared" si="18"/>
        <v>0</v>
      </c>
      <c r="J297" s="17"/>
      <c r="K297" s="18">
        <f>IFERROR(SUMIFS(MOVIMIENTOS!$E:$E,MOVIMIENTOS!$C:$C,$A297,MOVIMIENTOS!$B:$B,"ENTRADA"),0)</f>
        <v>0</v>
      </c>
      <c r="L297" s="18">
        <f>IFERROR(SUMIFS(MOVIMIENTOS!$E:$E,MOVIMIENTOS!$C:$C,$A297,MOVIMIENTOS!$B:$B,"SALIDA")+SUMIFS(MOVIMIENTOS!$E:$E,MOVIMIENTOS!$C:$C,$A297,MOVIMIENTOS!$B:$B,"MERMA"),0)</f>
        <v>0</v>
      </c>
      <c r="M297" s="18">
        <f t="shared" si="19"/>
        <v>0</v>
      </c>
      <c r="N297" s="17"/>
      <c r="AO297" s="18" t="str">
        <f t="shared" si="20"/>
        <v>REPONER</v>
      </c>
      <c r="AP297" s="20">
        <f t="shared" si="21"/>
        <v>0</v>
      </c>
      <c r="AQ297" s="17"/>
      <c r="AR297" s="16"/>
    </row>
    <row r="298" spans="1:44">
      <c r="A298" s="17"/>
      <c r="B298" s="17"/>
      <c r="C298" s="17"/>
      <c r="D298" s="17"/>
      <c r="E298" s="17"/>
      <c r="F298" s="17"/>
      <c r="G298" s="17"/>
      <c r="H298" s="25"/>
      <c r="I298" s="19">
        <f t="shared" si="18"/>
        <v>0</v>
      </c>
      <c r="J298" s="17"/>
      <c r="K298" s="18">
        <f>IFERROR(SUMIFS(MOVIMIENTOS!$E:$E,MOVIMIENTOS!$C:$C,$A298,MOVIMIENTOS!$B:$B,"ENTRADA"),0)</f>
        <v>0</v>
      </c>
      <c r="L298" s="18">
        <f>IFERROR(SUMIFS(MOVIMIENTOS!$E:$E,MOVIMIENTOS!$C:$C,$A298,MOVIMIENTOS!$B:$B,"SALIDA")+SUMIFS(MOVIMIENTOS!$E:$E,MOVIMIENTOS!$C:$C,$A298,MOVIMIENTOS!$B:$B,"MERMA"),0)</f>
        <v>0</v>
      </c>
      <c r="M298" s="18">
        <f t="shared" si="19"/>
        <v>0</v>
      </c>
      <c r="N298" s="17"/>
      <c r="AO298" s="18" t="str">
        <f t="shared" si="20"/>
        <v>REPONER</v>
      </c>
      <c r="AP298" s="20">
        <f t="shared" si="21"/>
        <v>0</v>
      </c>
      <c r="AQ298" s="17"/>
      <c r="AR298" s="16"/>
    </row>
    <row r="299" spans="1:44">
      <c r="A299" s="17"/>
      <c r="B299" s="17"/>
      <c r="C299" s="17"/>
      <c r="D299" s="17"/>
      <c r="E299" s="17"/>
      <c r="F299" s="17"/>
      <c r="G299" s="17"/>
      <c r="H299" s="25"/>
      <c r="I299" s="19">
        <f t="shared" si="18"/>
        <v>0</v>
      </c>
      <c r="J299" s="17"/>
      <c r="K299" s="18">
        <f>IFERROR(SUMIFS(MOVIMIENTOS!$E:$E,MOVIMIENTOS!$C:$C,$A299,MOVIMIENTOS!$B:$B,"ENTRADA"),0)</f>
        <v>0</v>
      </c>
      <c r="L299" s="18">
        <f>IFERROR(SUMIFS(MOVIMIENTOS!$E:$E,MOVIMIENTOS!$C:$C,$A299,MOVIMIENTOS!$B:$B,"SALIDA")+SUMIFS(MOVIMIENTOS!$E:$E,MOVIMIENTOS!$C:$C,$A299,MOVIMIENTOS!$B:$B,"MERMA"),0)</f>
        <v>0</v>
      </c>
      <c r="M299" s="18">
        <f t="shared" si="19"/>
        <v>0</v>
      </c>
      <c r="N299" s="17"/>
      <c r="AO299" s="18" t="str">
        <f t="shared" si="20"/>
        <v>REPONER</v>
      </c>
      <c r="AP299" s="20">
        <f t="shared" si="21"/>
        <v>0</v>
      </c>
      <c r="AQ299" s="17"/>
      <c r="AR299" s="16"/>
    </row>
    <row r="300" spans="1:44">
      <c r="A300" s="17"/>
      <c r="B300" s="17"/>
      <c r="C300" s="17"/>
      <c r="D300" s="17"/>
      <c r="E300" s="17"/>
      <c r="F300" s="17"/>
      <c r="G300" s="17"/>
      <c r="H300" s="25"/>
      <c r="I300" s="19">
        <f t="shared" si="18"/>
        <v>0</v>
      </c>
      <c r="J300" s="17"/>
      <c r="K300" s="18">
        <f>IFERROR(SUMIFS(MOVIMIENTOS!$E:$E,MOVIMIENTOS!$C:$C,$A300,MOVIMIENTOS!$B:$B,"ENTRADA"),0)</f>
        <v>0</v>
      </c>
      <c r="L300" s="18">
        <f>IFERROR(SUMIFS(MOVIMIENTOS!$E:$E,MOVIMIENTOS!$C:$C,$A300,MOVIMIENTOS!$B:$B,"SALIDA")+SUMIFS(MOVIMIENTOS!$E:$E,MOVIMIENTOS!$C:$C,$A300,MOVIMIENTOS!$B:$B,"MERMA"),0)</f>
        <v>0</v>
      </c>
      <c r="M300" s="18">
        <f t="shared" si="19"/>
        <v>0</v>
      </c>
      <c r="N300" s="17"/>
      <c r="AO300" s="18" t="str">
        <f t="shared" si="20"/>
        <v>REPONER</v>
      </c>
      <c r="AP300" s="20">
        <f t="shared" si="21"/>
        <v>0</v>
      </c>
      <c r="AQ300" s="17"/>
      <c r="AR300" s="16"/>
    </row>
  </sheetData>
  <sheetProtection password="840F" sheet="1" insertRows="0" sort="0" autoFilter="0"/>
  <mergeCells count="1">
    <mergeCell ref="E1:G1"/>
  </mergeCells>
  <dataValidations count="3">
    <dataValidation type="list" showErrorMessage="1" error="Selecciona una opcion de la lista" sqref="C5:C500">
      <formula1>CONFIGURACION!$C$14:$C$21</formula1>
    </dataValidation>
    <dataValidation type="list" showErrorMessage="1" error="Selecciona una opcion de la lista" sqref="D5:D500">
      <formula1>CONFIGURACION!$A$14:$A$24</formula1>
    </dataValidation>
    <dataValidation type="list" showErrorMessage="1" error="Selecciona una opcion de la lista" sqref="F5:F500">
      <formula1>CONFIGURACION!$B$14:$B$22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8080"/>
  </sheetPr>
  <dimension ref="A1:K300"/>
  <sheetViews>
    <sheetView workbookViewId="0">
      <pane ySplit="4" topLeftCell="A27" activePane="bottomLeft" state="frozen"/>
      <selection/>
      <selection pane="bottomLeft" activeCell="A1" sqref="A1"/>
    </sheetView>
  </sheetViews>
  <sheetFormatPr defaultColWidth="9" defaultRowHeight="15"/>
  <cols>
    <col min="1" max="1" width="10" customWidth="1"/>
    <col min="2" max="2" width="28" customWidth="1"/>
    <col min="3" max="3" width="12" customWidth="1"/>
    <col min="4" max="4" width="22" customWidth="1"/>
    <col min="5" max="6" width="14" customWidth="1"/>
    <col min="7" max="7" width="12" customWidth="1"/>
    <col min="8" max="8" width="14" customWidth="1"/>
    <col min="9" max="9" width="22" customWidth="1"/>
    <col min="10" max="10" width="9.14285714285714" hidden="1" customWidth="1"/>
    <col min="11" max="11" width="18" hidden="1" customWidth="1"/>
  </cols>
  <sheetData>
    <row r="1" ht="22" customHeight="1" spans="1:11">
      <c r="A1" s="4" t="s">
        <v>155</v>
      </c>
      <c r="B1" s="5"/>
      <c r="C1" s="5"/>
      <c r="D1" s="5"/>
      <c r="E1" s="6" t="str">
        <f>HYPERLINK("#DASHBOARD!A1","Volver al Menu Principal")</f>
        <v>Volver al Menu Principal</v>
      </c>
      <c r="F1" s="7"/>
      <c r="G1" s="8"/>
      <c r="H1" s="7"/>
      <c r="I1" s="7"/>
      <c r="K1" s="6"/>
    </row>
    <row r="2" ht="20" customHeight="1" spans="1:9">
      <c r="A2" s="46" t="s">
        <v>103</v>
      </c>
      <c r="B2" s="47"/>
      <c r="C2" s="47"/>
      <c r="D2" s="47"/>
      <c r="E2" s="47"/>
      <c r="F2" s="47"/>
      <c r="G2" s="47"/>
      <c r="H2" s="47"/>
      <c r="I2" s="47"/>
    </row>
    <row r="3" ht="20" customHeight="1" spans="1:9">
      <c r="A3" s="48" t="s">
        <v>156</v>
      </c>
      <c r="B3" s="49"/>
      <c r="C3" s="49"/>
      <c r="D3" s="49"/>
      <c r="E3" s="49"/>
      <c r="F3" s="49"/>
      <c r="G3" s="49"/>
      <c r="H3" s="49"/>
      <c r="I3" s="49"/>
    </row>
    <row r="4" ht="38" customHeight="1" spans="1:9">
      <c r="A4" s="13" t="s">
        <v>157</v>
      </c>
      <c r="B4" s="14" t="s">
        <v>158</v>
      </c>
      <c r="C4" s="14" t="s">
        <v>159</v>
      </c>
      <c r="D4" s="15" t="s">
        <v>106</v>
      </c>
      <c r="E4" s="15" t="s">
        <v>109</v>
      </c>
      <c r="F4" s="15" t="s">
        <v>112</v>
      </c>
      <c r="G4" s="14" t="s">
        <v>160</v>
      </c>
      <c r="H4" s="15" t="s">
        <v>161</v>
      </c>
      <c r="I4" s="13" t="s">
        <v>162</v>
      </c>
    </row>
    <row r="5" ht="18" customHeight="1" spans="1:9">
      <c r="A5" s="17" t="s">
        <v>163</v>
      </c>
      <c r="B5" s="17" t="s">
        <v>164</v>
      </c>
      <c r="C5" s="17" t="s">
        <v>122</v>
      </c>
      <c r="D5" s="18" t="str">
        <f>IFERROR(VLOOKUP(C5,MATERIALES!$A:$B,2,0),"")</f>
        <v>Papel fotografico 260g</v>
      </c>
      <c r="E5" s="18" t="str">
        <f>IFERROR(VLOOKUP(C5,MATERIALES!$A:$F,6,0),"")</f>
        <v>hoja</v>
      </c>
      <c r="F5" s="19">
        <f>IFERROR(VLOOKUP(C5,MATERIALES!$A:$I,9,0),0)</f>
        <v>250</v>
      </c>
      <c r="G5" s="17">
        <v>0.5</v>
      </c>
      <c r="H5" s="20">
        <f t="shared" ref="H5:H68" si="0">IFERROR(G5*F5,0)</f>
        <v>125</v>
      </c>
      <c r="I5" s="33" t="s">
        <v>165</v>
      </c>
    </row>
    <row r="6" ht="18" customHeight="1" spans="1:9">
      <c r="A6" s="17" t="s">
        <v>166</v>
      </c>
      <c r="B6" s="17" t="s">
        <v>164</v>
      </c>
      <c r="C6" s="17" t="s">
        <v>137</v>
      </c>
      <c r="D6" s="18" t="str">
        <f>IFERROR(VLOOKUP(C6,MATERIALES!$A:$B,2,0),"")</f>
        <v>Pegamento</v>
      </c>
      <c r="E6" s="18" t="str">
        <f>IFERROR(VLOOKUP(C6,MATERIALES!$A:$F,6,0),"")</f>
        <v>uso</v>
      </c>
      <c r="F6" s="19">
        <f>IFERROR(VLOOKUP(C6,MATERIALES!$A:$I,9,0),0)</f>
        <v>50</v>
      </c>
      <c r="G6" s="17">
        <v>0.1</v>
      </c>
      <c r="H6" s="20">
        <f t="shared" si="0"/>
        <v>5</v>
      </c>
      <c r="I6" s="33" t="s">
        <v>167</v>
      </c>
    </row>
    <row r="7" ht="18" customHeight="1" spans="1:9">
      <c r="A7" s="17" t="s">
        <v>168</v>
      </c>
      <c r="B7" s="17" t="s">
        <v>164</v>
      </c>
      <c r="C7" s="17" t="s">
        <v>140</v>
      </c>
      <c r="D7" s="18" t="str">
        <f>IFERROR(VLOOKUP(C7,MATERIALES!$A:$B,2,0),"")</f>
        <v>Palitos para toppers</v>
      </c>
      <c r="E7" s="18" t="str">
        <f>IFERROR(VLOOKUP(C7,MATERIALES!$A:$F,6,0),"")</f>
        <v>unidad</v>
      </c>
      <c r="F7" s="19">
        <f>IFERROR(VLOOKUP(C7,MATERIALES!$A:$I,9,0),0)</f>
        <v>15</v>
      </c>
      <c r="G7" s="17">
        <v>2</v>
      </c>
      <c r="H7" s="20">
        <f t="shared" si="0"/>
        <v>30</v>
      </c>
      <c r="I7" s="33" t="s">
        <v>169</v>
      </c>
    </row>
    <row r="8" ht="18" customHeight="1" spans="1:9">
      <c r="A8" s="17" t="s">
        <v>170</v>
      </c>
      <c r="B8" s="17" t="s">
        <v>164</v>
      </c>
      <c r="C8" s="17" t="s">
        <v>143</v>
      </c>
      <c r="D8" s="18" t="str">
        <f>IFERROR(VLOOKUP(C8,MATERIALES!$A:$B,2,0),"")</f>
        <v>Tinta Epson (set completo)</v>
      </c>
      <c r="E8" s="18" t="str">
        <f>IFERROR(VLOOKUP(C8,MATERIALES!$A:$F,6,0),"")</f>
        <v>uso</v>
      </c>
      <c r="F8" s="19">
        <f>IFERROR(VLOOKUP(C8,MATERIALES!$A:$I,9,0),0)</f>
        <v>175</v>
      </c>
      <c r="G8" s="17">
        <v>0.3</v>
      </c>
      <c r="H8" s="20">
        <f t="shared" si="0"/>
        <v>52.5</v>
      </c>
      <c r="I8" s="33" t="s">
        <v>171</v>
      </c>
    </row>
    <row r="9" ht="18" customHeight="1" spans="1:9">
      <c r="A9" s="17" t="s">
        <v>172</v>
      </c>
      <c r="B9" s="17" t="s">
        <v>173</v>
      </c>
      <c r="C9" s="17" t="s">
        <v>125</v>
      </c>
      <c r="D9" s="18" t="str">
        <f>IFERROR(VLOOKUP(C9,MATERIALES!$A:$B,2,0),"")</f>
        <v>Papel fotografico 180g</v>
      </c>
      <c r="E9" s="18" t="str">
        <f>IFERROR(VLOOKUP(C9,MATERIALES!$A:$F,6,0),"")</f>
        <v>hoja</v>
      </c>
      <c r="F9" s="19">
        <f>IFERROR(VLOOKUP(C9,MATERIALES!$A:$I,9,0),0)</f>
        <v>70</v>
      </c>
      <c r="G9" s="17">
        <v>9</v>
      </c>
      <c r="H9" s="20">
        <f t="shared" si="0"/>
        <v>630</v>
      </c>
      <c r="I9" s="33" t="s">
        <v>174</v>
      </c>
    </row>
    <row r="10" ht="18" customHeight="1" spans="1:9">
      <c r="A10" s="17" t="s">
        <v>175</v>
      </c>
      <c r="B10" s="17" t="s">
        <v>173</v>
      </c>
      <c r="C10" s="17" t="s">
        <v>143</v>
      </c>
      <c r="D10" s="18" t="str">
        <f>IFERROR(VLOOKUP(C10,MATERIALES!$A:$B,2,0),"")</f>
        <v>Tinta Epson (set completo)</v>
      </c>
      <c r="E10" s="18" t="str">
        <f>IFERROR(VLOOKUP(C10,MATERIALES!$A:$F,6,0),"")</f>
        <v>uso</v>
      </c>
      <c r="F10" s="19">
        <f>IFERROR(VLOOKUP(C10,MATERIALES!$A:$I,9,0),0)</f>
        <v>175</v>
      </c>
      <c r="G10" s="17">
        <v>0.5</v>
      </c>
      <c r="H10" s="20">
        <f t="shared" si="0"/>
        <v>87.5</v>
      </c>
      <c r="I10" s="33" t="s">
        <v>176</v>
      </c>
    </row>
    <row r="11" ht="18" customHeight="1" spans="1:9">
      <c r="A11" s="17" t="s">
        <v>177</v>
      </c>
      <c r="B11" s="17" t="s">
        <v>178</v>
      </c>
      <c r="C11" s="17" t="s">
        <v>130</v>
      </c>
      <c r="D11" s="18" t="str">
        <f>IFERROR(VLOOKUP(C11,MATERIALES!$A:$B,2,0),"")</f>
        <v>Vinil textil por metro</v>
      </c>
      <c r="E11" s="18" t="str">
        <f>IFERROR(VLOOKUP(C11,MATERIALES!$A:$F,6,0),"")</f>
        <v>centimetro</v>
      </c>
      <c r="F11" s="19">
        <f>IFERROR(VLOOKUP(C11,MATERIALES!$A:$I,9,0),0)</f>
        <v>60</v>
      </c>
      <c r="G11" s="17">
        <v>60</v>
      </c>
      <c r="H11" s="20">
        <f t="shared" si="0"/>
        <v>3600</v>
      </c>
      <c r="I11" s="33" t="s">
        <v>179</v>
      </c>
    </row>
    <row r="12" ht="18" customHeight="1" spans="1:9">
      <c r="A12" s="17" t="s">
        <v>180</v>
      </c>
      <c r="B12" s="17" t="s">
        <v>178</v>
      </c>
      <c r="C12" s="17" t="s">
        <v>143</v>
      </c>
      <c r="D12" s="18" t="str">
        <f>IFERROR(VLOOKUP(C12,MATERIALES!$A:$B,2,0),"")</f>
        <v>Tinta Epson (set completo)</v>
      </c>
      <c r="E12" s="18" t="str">
        <f>IFERROR(VLOOKUP(C12,MATERIALES!$A:$F,6,0),"")</f>
        <v>uso</v>
      </c>
      <c r="F12" s="19">
        <f>IFERROR(VLOOKUP(C12,MATERIALES!$A:$I,9,0),0)</f>
        <v>175</v>
      </c>
      <c r="G12" s="17">
        <v>0.2</v>
      </c>
      <c r="H12" s="20">
        <f t="shared" si="0"/>
        <v>35</v>
      </c>
      <c r="I12" s="33" t="s">
        <v>181</v>
      </c>
    </row>
    <row r="13" ht="18" customHeight="1" spans="1:9">
      <c r="A13" s="17" t="s">
        <v>182</v>
      </c>
      <c r="B13" s="17" t="s">
        <v>183</v>
      </c>
      <c r="C13" s="17" t="s">
        <v>127</v>
      </c>
      <c r="D13" s="18" t="str">
        <f>IFERROR(VLOOKUP(C13,MATERIALES!$A:$B,2,0),"")</f>
        <v>Vinil imprimible (pack 20u)</v>
      </c>
      <c r="E13" s="18" t="str">
        <f>IFERROR(VLOOKUP(C13,MATERIALES!$A:$F,6,0),"")</f>
        <v>hoja</v>
      </c>
      <c r="F13" s="19">
        <f>IFERROR(VLOOKUP(C13,MATERIALES!$A:$I,9,0),0)</f>
        <v>400</v>
      </c>
      <c r="G13" s="17">
        <v>1</v>
      </c>
      <c r="H13" s="20">
        <f t="shared" si="0"/>
        <v>400</v>
      </c>
      <c r="I13" s="33" t="s">
        <v>184</v>
      </c>
    </row>
    <row r="14" ht="18" customHeight="1" spans="1:9">
      <c r="A14" s="17" t="s">
        <v>185</v>
      </c>
      <c r="B14" s="17" t="s">
        <v>183</v>
      </c>
      <c r="C14" s="17" t="s">
        <v>143</v>
      </c>
      <c r="D14" s="18" t="str">
        <f>IFERROR(VLOOKUP(C14,MATERIALES!$A:$B,2,0),"")</f>
        <v>Tinta Epson (set completo)</v>
      </c>
      <c r="E14" s="18" t="str">
        <f>IFERROR(VLOOKUP(C14,MATERIALES!$A:$F,6,0),"")</f>
        <v>uso</v>
      </c>
      <c r="F14" s="19">
        <f>IFERROR(VLOOKUP(C14,MATERIALES!$A:$I,9,0),0)</f>
        <v>175</v>
      </c>
      <c r="G14" s="17">
        <v>0.2</v>
      </c>
      <c r="H14" s="20">
        <f t="shared" si="0"/>
        <v>35</v>
      </c>
      <c r="I14" s="33" t="s">
        <v>186</v>
      </c>
    </row>
    <row r="15" ht="18" customHeight="1" spans="1:9">
      <c r="A15" s="17" t="s">
        <v>187</v>
      </c>
      <c r="B15" s="17" t="s">
        <v>188</v>
      </c>
      <c r="C15" s="17" t="s">
        <v>146</v>
      </c>
      <c r="D15" s="18" t="str">
        <f>IFERROR(VLOOKUP(C15,MATERIALES!$A:$B,2,0),"")</f>
        <v>Lona para pendones</v>
      </c>
      <c r="E15" s="18" t="str">
        <f>IFERROR(VLOOKUP(C15,MATERIALES!$A:$F,6,0),"")</f>
        <v>cm2</v>
      </c>
      <c r="F15" s="19">
        <f>IFERROR(VLOOKUP(C15,MATERIALES!$A:$I,9,0),0)</f>
        <v>0.8</v>
      </c>
      <c r="G15" s="17">
        <v>9600</v>
      </c>
      <c r="H15" s="20">
        <f t="shared" si="0"/>
        <v>7680</v>
      </c>
      <c r="I15" s="33" t="s">
        <v>189</v>
      </c>
    </row>
    <row r="16" ht="18" customHeight="1" spans="1:9">
      <c r="A16" s="17" t="s">
        <v>190</v>
      </c>
      <c r="B16" s="17" t="s">
        <v>188</v>
      </c>
      <c r="C16" s="17" t="s">
        <v>143</v>
      </c>
      <c r="D16" s="18" t="str">
        <f>IFERROR(VLOOKUP(C16,MATERIALES!$A:$B,2,0),"")</f>
        <v>Tinta Epson (set completo)</v>
      </c>
      <c r="E16" s="18" t="str">
        <f>IFERROR(VLOOKUP(C16,MATERIALES!$A:$F,6,0),"")</f>
        <v>uso</v>
      </c>
      <c r="F16" s="19">
        <f>IFERROR(VLOOKUP(C16,MATERIALES!$A:$I,9,0),0)</f>
        <v>175</v>
      </c>
      <c r="G16" s="17">
        <v>0.5</v>
      </c>
      <c r="H16" s="20">
        <f t="shared" si="0"/>
        <v>87.5</v>
      </c>
      <c r="I16" s="33" t="s">
        <v>191</v>
      </c>
    </row>
    <row r="17" ht="18" customHeight="1" spans="1:9">
      <c r="A17" s="17" t="s">
        <v>192</v>
      </c>
      <c r="B17" s="17" t="s">
        <v>193</v>
      </c>
      <c r="C17" s="17" t="s">
        <v>135</v>
      </c>
      <c r="D17" s="18" t="str">
        <f>IFERROR(VLOOKUP(C17,MATERIALES!$A:$B,2,0),"")</f>
        <v>Cartulina opalina</v>
      </c>
      <c r="E17" s="18" t="str">
        <f>IFERROR(VLOOKUP(C17,MATERIALES!$A:$F,6,0),"")</f>
        <v>hoja</v>
      </c>
      <c r="F17" s="19">
        <f>IFERROR(VLOOKUP(C17,MATERIALES!$A:$I,9,0),0)</f>
        <v>150</v>
      </c>
      <c r="G17" s="17">
        <v>2</v>
      </c>
      <c r="H17" s="20">
        <f t="shared" si="0"/>
        <v>300</v>
      </c>
      <c r="I17" s="33" t="s">
        <v>194</v>
      </c>
    </row>
    <row r="18" ht="18" customHeight="1" spans="1:9">
      <c r="A18" s="17" t="s">
        <v>195</v>
      </c>
      <c r="B18" s="17" t="s">
        <v>193</v>
      </c>
      <c r="C18" s="17" t="s">
        <v>137</v>
      </c>
      <c r="D18" s="18" t="str">
        <f>IFERROR(VLOOKUP(C18,MATERIALES!$A:$B,2,0),"")</f>
        <v>Pegamento</v>
      </c>
      <c r="E18" s="18" t="str">
        <f>IFERROR(VLOOKUP(C18,MATERIALES!$A:$F,6,0),"")</f>
        <v>uso</v>
      </c>
      <c r="F18" s="19">
        <f>IFERROR(VLOOKUP(C18,MATERIALES!$A:$I,9,0),0)</f>
        <v>50</v>
      </c>
      <c r="G18" s="17">
        <v>0.15</v>
      </c>
      <c r="H18" s="20">
        <f t="shared" si="0"/>
        <v>7.5</v>
      </c>
      <c r="I18" s="33" t="s">
        <v>196</v>
      </c>
    </row>
    <row r="19" ht="18" customHeight="1" spans="1:9">
      <c r="A19" s="17" t="s">
        <v>197</v>
      </c>
      <c r="B19" s="17" t="s">
        <v>193</v>
      </c>
      <c r="C19" s="17" t="s">
        <v>143</v>
      </c>
      <c r="D19" s="18" t="str">
        <f>IFERROR(VLOOKUP(C19,MATERIALES!$A:$B,2,0),"")</f>
        <v>Tinta Epson (set completo)</v>
      </c>
      <c r="E19" s="18" t="str">
        <f>IFERROR(VLOOKUP(C19,MATERIALES!$A:$F,6,0),"")</f>
        <v>uso</v>
      </c>
      <c r="F19" s="19">
        <f>IFERROR(VLOOKUP(C19,MATERIALES!$A:$I,9,0),0)</f>
        <v>175</v>
      </c>
      <c r="G19" s="17">
        <v>0.1</v>
      </c>
      <c r="H19" s="20">
        <f t="shared" si="0"/>
        <v>17.5</v>
      </c>
      <c r="I19" s="33" t="s">
        <v>198</v>
      </c>
    </row>
    <row r="20" ht="18" customHeight="1" spans="1:9">
      <c r="A20" s="17" t="s">
        <v>199</v>
      </c>
      <c r="B20" s="17" t="s">
        <v>200</v>
      </c>
      <c r="C20" s="17" t="s">
        <v>133</v>
      </c>
      <c r="D20" s="18" t="str">
        <f>IFERROR(VLOOKUP(C20,MATERIALES!$A:$B,2,0),"")</f>
        <v>Papel adhesivo</v>
      </c>
      <c r="E20" s="18" t="str">
        <f>IFERROR(VLOOKUP(C20,MATERIALES!$A:$F,6,0),"")</f>
        <v>hoja</v>
      </c>
      <c r="F20" s="19">
        <f>IFERROR(VLOOKUP(C20,MATERIALES!$A:$I,9,0),0)</f>
        <v>180</v>
      </c>
      <c r="G20" s="17">
        <v>2</v>
      </c>
      <c r="H20" s="20">
        <f t="shared" si="0"/>
        <v>360</v>
      </c>
      <c r="I20" s="33" t="s">
        <v>201</v>
      </c>
    </row>
    <row r="21" ht="18" customHeight="1" spans="1:9">
      <c r="A21" s="17" t="s">
        <v>202</v>
      </c>
      <c r="B21" s="17" t="s">
        <v>200</v>
      </c>
      <c r="C21" s="17" t="s">
        <v>143</v>
      </c>
      <c r="D21" s="18" t="str">
        <f>IFERROR(VLOOKUP(C21,MATERIALES!$A:$B,2,0),"")</f>
        <v>Tinta Epson (set completo)</v>
      </c>
      <c r="E21" s="18" t="str">
        <f>IFERROR(VLOOKUP(C21,MATERIALES!$A:$F,6,0),"")</f>
        <v>uso</v>
      </c>
      <c r="F21" s="19">
        <f>IFERROR(VLOOKUP(C21,MATERIALES!$A:$I,9,0),0)</f>
        <v>175</v>
      </c>
      <c r="G21" s="17">
        <v>0.15</v>
      </c>
      <c r="H21" s="20">
        <f t="shared" si="0"/>
        <v>26.25</v>
      </c>
      <c r="I21" s="33" t="s">
        <v>203</v>
      </c>
    </row>
    <row r="22" ht="18" customHeight="1" spans="1:9">
      <c r="A22" s="17" t="s">
        <v>204</v>
      </c>
      <c r="B22" s="17" t="s">
        <v>205</v>
      </c>
      <c r="C22" s="17" t="s">
        <v>125</v>
      </c>
      <c r="D22" s="18" t="str">
        <f>IFERROR(VLOOKUP(C22,MATERIALES!$A:$B,2,0),"")</f>
        <v>Papel fotografico 180g</v>
      </c>
      <c r="E22" s="18" t="str">
        <f>IFERROR(VLOOKUP(C22,MATERIALES!$A:$F,6,0),"")</f>
        <v>hoja</v>
      </c>
      <c r="F22" s="19">
        <f>IFERROR(VLOOKUP(C22,MATERIALES!$A:$I,9,0),0)</f>
        <v>70</v>
      </c>
      <c r="G22" s="17">
        <v>1</v>
      </c>
      <c r="H22" s="20">
        <f t="shared" si="0"/>
        <v>70</v>
      </c>
      <c r="I22" s="33" t="s">
        <v>206</v>
      </c>
    </row>
    <row r="23" ht="18" customHeight="1" spans="1:9">
      <c r="A23" s="17" t="s">
        <v>207</v>
      </c>
      <c r="B23" s="17" t="s">
        <v>205</v>
      </c>
      <c r="C23" s="17" t="s">
        <v>143</v>
      </c>
      <c r="D23" s="18" t="str">
        <f>IFERROR(VLOOKUP(C23,MATERIALES!$A:$B,2,0),"")</f>
        <v>Tinta Epson (set completo)</v>
      </c>
      <c r="E23" s="18" t="str">
        <f>IFERROR(VLOOKUP(C23,MATERIALES!$A:$F,6,0),"")</f>
        <v>uso</v>
      </c>
      <c r="F23" s="19">
        <f>IFERROR(VLOOKUP(C23,MATERIALES!$A:$I,9,0),0)</f>
        <v>175</v>
      </c>
      <c r="G23" s="17">
        <v>0.08</v>
      </c>
      <c r="H23" s="20">
        <f t="shared" si="0"/>
        <v>14</v>
      </c>
      <c r="I23" s="33" t="s">
        <v>186</v>
      </c>
    </row>
    <row r="24" ht="18" customHeight="1" spans="1:9">
      <c r="A24" s="17" t="s">
        <v>208</v>
      </c>
      <c r="B24" s="17" t="s">
        <v>209</v>
      </c>
      <c r="C24" s="17" t="s">
        <v>127</v>
      </c>
      <c r="D24" s="18" t="str">
        <f>IFERROR(VLOOKUP(C24,MATERIALES!$A:$B,2,0),"")</f>
        <v>Vinil imprimible (pack 20u)</v>
      </c>
      <c r="E24" s="18" t="str">
        <f>IFERROR(VLOOKUP(C24,MATERIALES!$A:$F,6,0),"")</f>
        <v>hoja</v>
      </c>
      <c r="F24" s="19">
        <f>IFERROR(VLOOKUP(C24,MATERIALES!$A:$I,9,0),0)</f>
        <v>400</v>
      </c>
      <c r="G24" s="17">
        <v>1</v>
      </c>
      <c r="H24" s="20">
        <f t="shared" si="0"/>
        <v>400</v>
      </c>
      <c r="I24" s="33" t="s">
        <v>210</v>
      </c>
    </row>
    <row r="25" ht="18" customHeight="1" spans="1:9">
      <c r="A25" s="17" t="s">
        <v>211</v>
      </c>
      <c r="B25" s="17" t="s">
        <v>209</v>
      </c>
      <c r="C25" s="17" t="s">
        <v>143</v>
      </c>
      <c r="D25" s="18" t="str">
        <f>IFERROR(VLOOKUP(C25,MATERIALES!$A:$B,2,0),"")</f>
        <v>Tinta Epson (set completo)</v>
      </c>
      <c r="E25" s="18" t="str">
        <f>IFERROR(VLOOKUP(C25,MATERIALES!$A:$F,6,0),"")</f>
        <v>uso</v>
      </c>
      <c r="F25" s="19">
        <f>IFERROR(VLOOKUP(C25,MATERIALES!$A:$I,9,0),0)</f>
        <v>175</v>
      </c>
      <c r="G25" s="17">
        <v>0.15</v>
      </c>
      <c r="H25" s="20">
        <f t="shared" si="0"/>
        <v>26.25</v>
      </c>
      <c r="I25" s="33" t="s">
        <v>212</v>
      </c>
    </row>
    <row r="26" spans="1:9">
      <c r="A26" s="17" t="s">
        <v>213</v>
      </c>
      <c r="B26" s="17" t="s">
        <v>214</v>
      </c>
      <c r="C26" s="17" t="s">
        <v>149</v>
      </c>
      <c r="D26" s="18" t="str">
        <f>IFERROR(VLOOKUP(C26,MATERIALES!$A:$B,2,0),"")</f>
        <v>Material de Prueba</v>
      </c>
      <c r="E26" s="18" t="str">
        <f>IFERROR(VLOOKUP(C26,MATERIALES!$A:$F,6,0),"")</f>
        <v>kg</v>
      </c>
      <c r="F26" s="19">
        <f>IFERROR(VLOOKUP(C26,MATERIALES!$A:$I,9,0),0)</f>
        <v>10</v>
      </c>
      <c r="G26" s="17">
        <v>0.5</v>
      </c>
      <c r="H26" s="20">
        <f t="shared" si="0"/>
        <v>5</v>
      </c>
      <c r="I26" s="33" t="s">
        <v>215</v>
      </c>
    </row>
    <row r="27" spans="1:9">
      <c r="A27" s="17"/>
      <c r="B27" s="17"/>
      <c r="C27" s="17"/>
      <c r="D27" s="18" t="str">
        <f>IFERROR(VLOOKUP(C27,MATERIALES!$A:$B,2,0),"")</f>
        <v/>
      </c>
      <c r="E27" s="18" t="str">
        <f>IFERROR(VLOOKUP(C27,MATERIALES!$A:$F,6,0),"")</f>
        <v/>
      </c>
      <c r="F27" s="19">
        <f>IFERROR(VLOOKUP(C27,MATERIALES!$A:$I,9,0),0)</f>
        <v>0</v>
      </c>
      <c r="G27" s="17"/>
      <c r="H27" s="20">
        <f t="shared" si="0"/>
        <v>0</v>
      </c>
      <c r="I27" s="33"/>
    </row>
    <row r="28" spans="1:9">
      <c r="A28" s="17"/>
      <c r="B28" s="17"/>
      <c r="C28" s="17"/>
      <c r="D28" s="18" t="str">
        <f>IFERROR(VLOOKUP(C28,MATERIALES!$A:$B,2,0),"")</f>
        <v/>
      </c>
      <c r="E28" s="18" t="str">
        <f>IFERROR(VLOOKUP(C28,MATERIALES!$A:$F,6,0),"")</f>
        <v/>
      </c>
      <c r="F28" s="19">
        <f>IFERROR(VLOOKUP(C28,MATERIALES!$A:$I,9,0),0)</f>
        <v>0</v>
      </c>
      <c r="G28" s="17"/>
      <c r="H28" s="20">
        <f t="shared" si="0"/>
        <v>0</v>
      </c>
      <c r="I28" s="33"/>
    </row>
    <row r="29" spans="1:9">
      <c r="A29" s="17"/>
      <c r="B29" s="17"/>
      <c r="C29" s="17"/>
      <c r="D29" s="18" t="str">
        <f>IFERROR(VLOOKUP(C29,MATERIALES!$A:$B,2,0),"")</f>
        <v/>
      </c>
      <c r="E29" s="18" t="str">
        <f>IFERROR(VLOOKUP(C29,MATERIALES!$A:$F,6,0),"")</f>
        <v/>
      </c>
      <c r="F29" s="19">
        <f>IFERROR(VLOOKUP(C29,MATERIALES!$A:$I,9,0),0)</f>
        <v>0</v>
      </c>
      <c r="G29" s="17"/>
      <c r="H29" s="20">
        <f t="shared" si="0"/>
        <v>0</v>
      </c>
      <c r="I29" s="33"/>
    </row>
    <row r="30" spans="1:9">
      <c r="A30" s="17"/>
      <c r="B30" s="17"/>
      <c r="C30" s="17"/>
      <c r="D30" s="18" t="str">
        <f>IFERROR(VLOOKUP(C30,MATERIALES!$A:$B,2,0),"")</f>
        <v/>
      </c>
      <c r="E30" s="18" t="str">
        <f>IFERROR(VLOOKUP(C30,MATERIALES!$A:$F,6,0),"")</f>
        <v/>
      </c>
      <c r="F30" s="19">
        <f>IFERROR(VLOOKUP(C30,MATERIALES!$A:$I,9,0),0)</f>
        <v>0</v>
      </c>
      <c r="G30" s="17"/>
      <c r="H30" s="20">
        <f t="shared" si="0"/>
        <v>0</v>
      </c>
      <c r="I30" s="33"/>
    </row>
    <row r="31" spans="1:9">
      <c r="A31" s="17"/>
      <c r="B31" s="17"/>
      <c r="C31" s="17"/>
      <c r="D31" s="18" t="str">
        <f>IFERROR(VLOOKUP(C31,MATERIALES!$A:$B,2,0),"")</f>
        <v/>
      </c>
      <c r="E31" s="18" t="str">
        <f>IFERROR(VLOOKUP(C31,MATERIALES!$A:$F,6,0),"")</f>
        <v/>
      </c>
      <c r="F31" s="19">
        <f>IFERROR(VLOOKUP(C31,MATERIALES!$A:$I,9,0),0)</f>
        <v>0</v>
      </c>
      <c r="G31" s="17"/>
      <c r="H31" s="20">
        <f t="shared" si="0"/>
        <v>0</v>
      </c>
      <c r="I31" s="33"/>
    </row>
    <row r="32" spans="1:9">
      <c r="A32" s="17"/>
      <c r="B32" s="17"/>
      <c r="C32" s="17"/>
      <c r="D32" s="18" t="str">
        <f>IFERROR(VLOOKUP(C32,MATERIALES!$A:$B,2,0),"")</f>
        <v/>
      </c>
      <c r="E32" s="18" t="str">
        <f>IFERROR(VLOOKUP(C32,MATERIALES!$A:$F,6,0),"")</f>
        <v/>
      </c>
      <c r="F32" s="19">
        <f>IFERROR(VLOOKUP(C32,MATERIALES!$A:$I,9,0),0)</f>
        <v>0</v>
      </c>
      <c r="G32" s="17"/>
      <c r="H32" s="20">
        <f t="shared" si="0"/>
        <v>0</v>
      </c>
      <c r="I32" s="33"/>
    </row>
    <row r="33" spans="1:9">
      <c r="A33" s="17"/>
      <c r="B33" s="17"/>
      <c r="C33" s="17"/>
      <c r="D33" s="18" t="str">
        <f>IFERROR(VLOOKUP(C33,MATERIALES!$A:$B,2,0),"")</f>
        <v/>
      </c>
      <c r="E33" s="18" t="str">
        <f>IFERROR(VLOOKUP(C33,MATERIALES!$A:$F,6,0),"")</f>
        <v/>
      </c>
      <c r="F33" s="19">
        <f>IFERROR(VLOOKUP(C33,MATERIALES!$A:$I,9,0),0)</f>
        <v>0</v>
      </c>
      <c r="G33" s="17"/>
      <c r="H33" s="20">
        <f t="shared" si="0"/>
        <v>0</v>
      </c>
      <c r="I33" s="33"/>
    </row>
    <row r="34" spans="1:9">
      <c r="A34" s="17"/>
      <c r="B34" s="17"/>
      <c r="C34" s="17"/>
      <c r="D34" s="18" t="str">
        <f>IFERROR(VLOOKUP(C34,MATERIALES!$A:$B,2,0),"")</f>
        <v/>
      </c>
      <c r="E34" s="18" t="str">
        <f>IFERROR(VLOOKUP(C34,MATERIALES!$A:$F,6,0),"")</f>
        <v/>
      </c>
      <c r="F34" s="19">
        <f>IFERROR(VLOOKUP(C34,MATERIALES!$A:$I,9,0),0)</f>
        <v>0</v>
      </c>
      <c r="G34" s="17"/>
      <c r="H34" s="20">
        <f t="shared" si="0"/>
        <v>0</v>
      </c>
      <c r="I34" s="33"/>
    </row>
    <row r="35" spans="1:9">
      <c r="A35" s="17"/>
      <c r="B35" s="17"/>
      <c r="C35" s="17"/>
      <c r="D35" s="18" t="str">
        <f>IFERROR(VLOOKUP(C35,MATERIALES!$A:$B,2,0),"")</f>
        <v/>
      </c>
      <c r="E35" s="18" t="str">
        <f>IFERROR(VLOOKUP(C35,MATERIALES!$A:$F,6,0),"")</f>
        <v/>
      </c>
      <c r="F35" s="19">
        <f>IFERROR(VLOOKUP(C35,MATERIALES!$A:$I,9,0),0)</f>
        <v>0</v>
      </c>
      <c r="G35" s="17"/>
      <c r="H35" s="20">
        <f t="shared" si="0"/>
        <v>0</v>
      </c>
      <c r="I35" s="33"/>
    </row>
    <row r="36" spans="1:9">
      <c r="A36" s="17"/>
      <c r="B36" s="17"/>
      <c r="C36" s="17"/>
      <c r="D36" s="18" t="str">
        <f>IFERROR(VLOOKUP(C36,MATERIALES!$A:$B,2,0),"")</f>
        <v/>
      </c>
      <c r="E36" s="18" t="str">
        <f>IFERROR(VLOOKUP(C36,MATERIALES!$A:$F,6,0),"")</f>
        <v/>
      </c>
      <c r="F36" s="19">
        <f>IFERROR(VLOOKUP(C36,MATERIALES!$A:$I,9,0),0)</f>
        <v>0</v>
      </c>
      <c r="G36" s="17"/>
      <c r="H36" s="20">
        <f t="shared" si="0"/>
        <v>0</v>
      </c>
      <c r="I36" s="33"/>
    </row>
    <row r="37" spans="1:9">
      <c r="A37" s="17"/>
      <c r="B37" s="17"/>
      <c r="C37" s="17"/>
      <c r="D37" s="18" t="str">
        <f>IFERROR(VLOOKUP(C37,MATERIALES!$A:$B,2,0),"")</f>
        <v/>
      </c>
      <c r="E37" s="18" t="str">
        <f>IFERROR(VLOOKUP(C37,MATERIALES!$A:$F,6,0),"")</f>
        <v/>
      </c>
      <c r="F37" s="19">
        <f>IFERROR(VLOOKUP(C37,MATERIALES!$A:$I,9,0),0)</f>
        <v>0</v>
      </c>
      <c r="G37" s="17"/>
      <c r="H37" s="20">
        <f t="shared" si="0"/>
        <v>0</v>
      </c>
      <c r="I37" s="33"/>
    </row>
    <row r="38" spans="1:9">
      <c r="A38" s="17"/>
      <c r="B38" s="17"/>
      <c r="C38" s="17"/>
      <c r="D38" s="18" t="str">
        <f>IFERROR(VLOOKUP(C38,MATERIALES!$A:$B,2,0),"")</f>
        <v/>
      </c>
      <c r="E38" s="18" t="str">
        <f>IFERROR(VLOOKUP(C38,MATERIALES!$A:$F,6,0),"")</f>
        <v/>
      </c>
      <c r="F38" s="19">
        <f>IFERROR(VLOOKUP(C38,MATERIALES!$A:$I,9,0),0)</f>
        <v>0</v>
      </c>
      <c r="G38" s="17"/>
      <c r="H38" s="20">
        <f t="shared" si="0"/>
        <v>0</v>
      </c>
      <c r="I38" s="33"/>
    </row>
    <row r="39" spans="1:9">
      <c r="A39" s="17"/>
      <c r="B39" s="17"/>
      <c r="C39" s="17"/>
      <c r="D39" s="18" t="str">
        <f>IFERROR(VLOOKUP(C39,MATERIALES!$A:$B,2,0),"")</f>
        <v/>
      </c>
      <c r="E39" s="18" t="str">
        <f>IFERROR(VLOOKUP(C39,MATERIALES!$A:$F,6,0),"")</f>
        <v/>
      </c>
      <c r="F39" s="19">
        <f>IFERROR(VLOOKUP(C39,MATERIALES!$A:$I,9,0),0)</f>
        <v>0</v>
      </c>
      <c r="G39" s="17"/>
      <c r="H39" s="20">
        <f t="shared" si="0"/>
        <v>0</v>
      </c>
      <c r="I39" s="33"/>
    </row>
    <row r="40" spans="1:9">
      <c r="A40" s="17"/>
      <c r="B40" s="17"/>
      <c r="C40" s="17"/>
      <c r="D40" s="18" t="str">
        <f>IFERROR(VLOOKUP(C40,MATERIALES!$A:$B,2,0),"")</f>
        <v/>
      </c>
      <c r="E40" s="18" t="str">
        <f>IFERROR(VLOOKUP(C40,MATERIALES!$A:$F,6,0),"")</f>
        <v/>
      </c>
      <c r="F40" s="19">
        <f>IFERROR(VLOOKUP(C40,MATERIALES!$A:$I,9,0),0)</f>
        <v>0</v>
      </c>
      <c r="G40" s="17"/>
      <c r="H40" s="20">
        <f t="shared" si="0"/>
        <v>0</v>
      </c>
      <c r="I40" s="33"/>
    </row>
    <row r="41" spans="1:9">
      <c r="A41" s="17"/>
      <c r="B41" s="17"/>
      <c r="C41" s="17"/>
      <c r="D41" s="18" t="str">
        <f>IFERROR(VLOOKUP(C41,MATERIALES!$A:$B,2,0),"")</f>
        <v/>
      </c>
      <c r="E41" s="18" t="str">
        <f>IFERROR(VLOOKUP(C41,MATERIALES!$A:$F,6,0),"")</f>
        <v/>
      </c>
      <c r="F41" s="19">
        <f>IFERROR(VLOOKUP(C41,MATERIALES!$A:$I,9,0),0)</f>
        <v>0</v>
      </c>
      <c r="G41" s="17"/>
      <c r="H41" s="20">
        <f t="shared" si="0"/>
        <v>0</v>
      </c>
      <c r="I41" s="33"/>
    </row>
    <row r="42" spans="1:9">
      <c r="A42" s="17"/>
      <c r="B42" s="17"/>
      <c r="C42" s="17"/>
      <c r="D42" s="18" t="str">
        <f>IFERROR(VLOOKUP(C42,MATERIALES!$A:$B,2,0),"")</f>
        <v/>
      </c>
      <c r="E42" s="18" t="str">
        <f>IFERROR(VLOOKUP(C42,MATERIALES!$A:$F,6,0),"")</f>
        <v/>
      </c>
      <c r="F42" s="19">
        <f>IFERROR(VLOOKUP(C42,MATERIALES!$A:$I,9,0),0)</f>
        <v>0</v>
      </c>
      <c r="G42" s="17"/>
      <c r="H42" s="20">
        <f t="shared" si="0"/>
        <v>0</v>
      </c>
      <c r="I42" s="33"/>
    </row>
    <row r="43" spans="1:9">
      <c r="A43" s="17"/>
      <c r="B43" s="17"/>
      <c r="C43" s="17"/>
      <c r="D43" s="18" t="str">
        <f>IFERROR(VLOOKUP(C43,MATERIALES!$A:$B,2,0),"")</f>
        <v/>
      </c>
      <c r="E43" s="18" t="str">
        <f>IFERROR(VLOOKUP(C43,MATERIALES!$A:$F,6,0),"")</f>
        <v/>
      </c>
      <c r="F43" s="19">
        <f>IFERROR(VLOOKUP(C43,MATERIALES!$A:$I,9,0),0)</f>
        <v>0</v>
      </c>
      <c r="G43" s="17"/>
      <c r="H43" s="20">
        <f t="shared" si="0"/>
        <v>0</v>
      </c>
      <c r="I43" s="33"/>
    </row>
    <row r="44" spans="1:9">
      <c r="A44" s="17"/>
      <c r="B44" s="17"/>
      <c r="C44" s="17"/>
      <c r="D44" s="18" t="str">
        <f>IFERROR(VLOOKUP(C44,MATERIALES!$A:$B,2,0),"")</f>
        <v/>
      </c>
      <c r="E44" s="18" t="str">
        <f>IFERROR(VLOOKUP(C44,MATERIALES!$A:$F,6,0),"")</f>
        <v/>
      </c>
      <c r="F44" s="19">
        <f>IFERROR(VLOOKUP(C44,MATERIALES!$A:$I,9,0),0)</f>
        <v>0</v>
      </c>
      <c r="G44" s="17"/>
      <c r="H44" s="20">
        <f t="shared" si="0"/>
        <v>0</v>
      </c>
      <c r="I44" s="33"/>
    </row>
    <row r="45" spans="1:9">
      <c r="A45" s="17"/>
      <c r="B45" s="17"/>
      <c r="C45" s="17"/>
      <c r="D45" s="18" t="str">
        <f>IFERROR(VLOOKUP(C45,MATERIALES!$A:$B,2,0),"")</f>
        <v/>
      </c>
      <c r="E45" s="18" t="str">
        <f>IFERROR(VLOOKUP(C45,MATERIALES!$A:$F,6,0),"")</f>
        <v/>
      </c>
      <c r="F45" s="19">
        <f>IFERROR(VLOOKUP(C45,MATERIALES!$A:$I,9,0),0)</f>
        <v>0</v>
      </c>
      <c r="G45" s="17"/>
      <c r="H45" s="20">
        <f t="shared" si="0"/>
        <v>0</v>
      </c>
      <c r="I45" s="33"/>
    </row>
    <row r="46" spans="1:9">
      <c r="A46" s="17"/>
      <c r="B46" s="17"/>
      <c r="C46" s="17"/>
      <c r="D46" s="18" t="str">
        <f>IFERROR(VLOOKUP(C46,MATERIALES!$A:$B,2,0),"")</f>
        <v/>
      </c>
      <c r="E46" s="18" t="str">
        <f>IFERROR(VLOOKUP(C46,MATERIALES!$A:$F,6,0),"")</f>
        <v/>
      </c>
      <c r="F46" s="19">
        <f>IFERROR(VLOOKUP(C46,MATERIALES!$A:$I,9,0),0)</f>
        <v>0</v>
      </c>
      <c r="G46" s="17"/>
      <c r="H46" s="20">
        <f t="shared" si="0"/>
        <v>0</v>
      </c>
      <c r="I46" s="33"/>
    </row>
    <row r="47" spans="1:9">
      <c r="A47" s="17"/>
      <c r="B47" s="17"/>
      <c r="C47" s="17"/>
      <c r="D47" s="18" t="str">
        <f>IFERROR(VLOOKUP(C47,MATERIALES!$A:$B,2,0),"")</f>
        <v/>
      </c>
      <c r="E47" s="18" t="str">
        <f>IFERROR(VLOOKUP(C47,MATERIALES!$A:$F,6,0),"")</f>
        <v/>
      </c>
      <c r="F47" s="19">
        <f>IFERROR(VLOOKUP(C47,MATERIALES!$A:$I,9,0),0)</f>
        <v>0</v>
      </c>
      <c r="G47" s="17"/>
      <c r="H47" s="20">
        <f t="shared" si="0"/>
        <v>0</v>
      </c>
      <c r="I47" s="33"/>
    </row>
    <row r="48" spans="1:9">
      <c r="A48" s="17"/>
      <c r="B48" s="17"/>
      <c r="C48" s="17"/>
      <c r="D48" s="18" t="str">
        <f>IFERROR(VLOOKUP(C48,MATERIALES!$A:$B,2,0),"")</f>
        <v/>
      </c>
      <c r="E48" s="18" t="str">
        <f>IFERROR(VLOOKUP(C48,MATERIALES!$A:$F,6,0),"")</f>
        <v/>
      </c>
      <c r="F48" s="19">
        <f>IFERROR(VLOOKUP(C48,MATERIALES!$A:$I,9,0),0)</f>
        <v>0</v>
      </c>
      <c r="G48" s="17"/>
      <c r="H48" s="20">
        <f t="shared" si="0"/>
        <v>0</v>
      </c>
      <c r="I48" s="33"/>
    </row>
    <row r="49" spans="1:9">
      <c r="A49" s="17"/>
      <c r="B49" s="17"/>
      <c r="C49" s="17"/>
      <c r="D49" s="18" t="str">
        <f>IFERROR(VLOOKUP(C49,MATERIALES!$A:$B,2,0),"")</f>
        <v/>
      </c>
      <c r="E49" s="18" t="str">
        <f>IFERROR(VLOOKUP(C49,MATERIALES!$A:$F,6,0),"")</f>
        <v/>
      </c>
      <c r="F49" s="19">
        <f>IFERROR(VLOOKUP(C49,MATERIALES!$A:$I,9,0),0)</f>
        <v>0</v>
      </c>
      <c r="G49" s="17"/>
      <c r="H49" s="20">
        <f t="shared" si="0"/>
        <v>0</v>
      </c>
      <c r="I49" s="33"/>
    </row>
    <row r="50" spans="1:9">
      <c r="A50" s="17"/>
      <c r="B50" s="17"/>
      <c r="C50" s="17"/>
      <c r="D50" s="18" t="str">
        <f>IFERROR(VLOOKUP(C50,MATERIALES!$A:$B,2,0),"")</f>
        <v/>
      </c>
      <c r="E50" s="18" t="str">
        <f>IFERROR(VLOOKUP(C50,MATERIALES!$A:$F,6,0),"")</f>
        <v/>
      </c>
      <c r="F50" s="19">
        <f>IFERROR(VLOOKUP(C50,MATERIALES!$A:$I,9,0),0)</f>
        <v>0</v>
      </c>
      <c r="G50" s="17"/>
      <c r="H50" s="20">
        <f t="shared" si="0"/>
        <v>0</v>
      </c>
      <c r="I50" s="33"/>
    </row>
    <row r="51" spans="1:9">
      <c r="A51" s="17"/>
      <c r="B51" s="17"/>
      <c r="C51" s="17"/>
      <c r="D51" s="18" t="str">
        <f>IFERROR(VLOOKUP(C51,MATERIALES!$A:$B,2,0),"")</f>
        <v/>
      </c>
      <c r="E51" s="18" t="str">
        <f>IFERROR(VLOOKUP(C51,MATERIALES!$A:$F,6,0),"")</f>
        <v/>
      </c>
      <c r="F51" s="19">
        <f>IFERROR(VLOOKUP(C51,MATERIALES!$A:$I,9,0),0)</f>
        <v>0</v>
      </c>
      <c r="G51" s="17"/>
      <c r="H51" s="20">
        <f t="shared" si="0"/>
        <v>0</v>
      </c>
      <c r="I51" s="33"/>
    </row>
    <row r="52" spans="1:9">
      <c r="A52" s="17"/>
      <c r="B52" s="17"/>
      <c r="C52" s="17"/>
      <c r="D52" s="18" t="str">
        <f>IFERROR(VLOOKUP(C52,MATERIALES!$A:$B,2,0),"")</f>
        <v/>
      </c>
      <c r="E52" s="18" t="str">
        <f>IFERROR(VLOOKUP(C52,MATERIALES!$A:$F,6,0),"")</f>
        <v/>
      </c>
      <c r="F52" s="19">
        <f>IFERROR(VLOOKUP(C52,MATERIALES!$A:$I,9,0),0)</f>
        <v>0</v>
      </c>
      <c r="G52" s="17"/>
      <c r="H52" s="20">
        <f t="shared" si="0"/>
        <v>0</v>
      </c>
      <c r="I52" s="33"/>
    </row>
    <row r="53" spans="1:9">
      <c r="A53" s="17"/>
      <c r="B53" s="17"/>
      <c r="C53" s="17"/>
      <c r="D53" s="18" t="str">
        <f>IFERROR(VLOOKUP(C53,MATERIALES!$A:$B,2,0),"")</f>
        <v/>
      </c>
      <c r="E53" s="18" t="str">
        <f>IFERROR(VLOOKUP(C53,MATERIALES!$A:$F,6,0),"")</f>
        <v/>
      </c>
      <c r="F53" s="19">
        <f>IFERROR(VLOOKUP(C53,MATERIALES!$A:$I,9,0),0)</f>
        <v>0</v>
      </c>
      <c r="G53" s="17"/>
      <c r="H53" s="20">
        <f t="shared" si="0"/>
        <v>0</v>
      </c>
      <c r="I53" s="33"/>
    </row>
    <row r="54" spans="1:9">
      <c r="A54" s="17"/>
      <c r="B54" s="17"/>
      <c r="C54" s="17"/>
      <c r="D54" s="18" t="str">
        <f>IFERROR(VLOOKUP(C54,MATERIALES!$A:$B,2,0),"")</f>
        <v/>
      </c>
      <c r="E54" s="18" t="str">
        <f>IFERROR(VLOOKUP(C54,MATERIALES!$A:$F,6,0),"")</f>
        <v/>
      </c>
      <c r="F54" s="19">
        <f>IFERROR(VLOOKUP(C54,MATERIALES!$A:$I,9,0),0)</f>
        <v>0</v>
      </c>
      <c r="G54" s="17"/>
      <c r="H54" s="20">
        <f t="shared" si="0"/>
        <v>0</v>
      </c>
      <c r="I54" s="33"/>
    </row>
    <row r="55" spans="1:9">
      <c r="A55" s="17"/>
      <c r="B55" s="17"/>
      <c r="C55" s="17"/>
      <c r="D55" s="18" t="str">
        <f>IFERROR(VLOOKUP(C55,MATERIALES!$A:$B,2,0),"")</f>
        <v/>
      </c>
      <c r="E55" s="18" t="str">
        <f>IFERROR(VLOOKUP(C55,MATERIALES!$A:$F,6,0),"")</f>
        <v/>
      </c>
      <c r="F55" s="19">
        <f>IFERROR(VLOOKUP(C55,MATERIALES!$A:$I,9,0),0)</f>
        <v>0</v>
      </c>
      <c r="G55" s="17"/>
      <c r="H55" s="20">
        <f t="shared" si="0"/>
        <v>0</v>
      </c>
      <c r="I55" s="33"/>
    </row>
    <row r="56" spans="1:9">
      <c r="A56" s="17"/>
      <c r="B56" s="17"/>
      <c r="C56" s="17"/>
      <c r="D56" s="18" t="str">
        <f>IFERROR(VLOOKUP(C56,MATERIALES!$A:$B,2,0),"")</f>
        <v/>
      </c>
      <c r="E56" s="18" t="str">
        <f>IFERROR(VLOOKUP(C56,MATERIALES!$A:$F,6,0),"")</f>
        <v/>
      </c>
      <c r="F56" s="19">
        <f>IFERROR(VLOOKUP(C56,MATERIALES!$A:$I,9,0),0)</f>
        <v>0</v>
      </c>
      <c r="G56" s="17"/>
      <c r="H56" s="20">
        <f t="shared" si="0"/>
        <v>0</v>
      </c>
      <c r="I56" s="33"/>
    </row>
    <row r="57" spans="1:9">
      <c r="A57" s="17"/>
      <c r="B57" s="17"/>
      <c r="C57" s="17"/>
      <c r="D57" s="18" t="str">
        <f>IFERROR(VLOOKUP(C57,MATERIALES!$A:$B,2,0),"")</f>
        <v/>
      </c>
      <c r="E57" s="18" t="str">
        <f>IFERROR(VLOOKUP(C57,MATERIALES!$A:$F,6,0),"")</f>
        <v/>
      </c>
      <c r="F57" s="19">
        <f>IFERROR(VLOOKUP(C57,MATERIALES!$A:$I,9,0),0)</f>
        <v>0</v>
      </c>
      <c r="G57" s="17"/>
      <c r="H57" s="20">
        <f t="shared" si="0"/>
        <v>0</v>
      </c>
      <c r="I57" s="33"/>
    </row>
    <row r="58" spans="1:9">
      <c r="A58" s="17"/>
      <c r="B58" s="17"/>
      <c r="C58" s="17"/>
      <c r="D58" s="18" t="str">
        <f>IFERROR(VLOOKUP(C58,MATERIALES!$A:$B,2,0),"")</f>
        <v/>
      </c>
      <c r="E58" s="18" t="str">
        <f>IFERROR(VLOOKUP(C58,MATERIALES!$A:$F,6,0),"")</f>
        <v/>
      </c>
      <c r="F58" s="19">
        <f>IFERROR(VLOOKUP(C58,MATERIALES!$A:$I,9,0),0)</f>
        <v>0</v>
      </c>
      <c r="G58" s="17"/>
      <c r="H58" s="20">
        <f t="shared" si="0"/>
        <v>0</v>
      </c>
      <c r="I58" s="33"/>
    </row>
    <row r="59" spans="1:9">
      <c r="A59" s="17"/>
      <c r="B59" s="17"/>
      <c r="C59" s="17"/>
      <c r="D59" s="18" t="str">
        <f>IFERROR(VLOOKUP(C59,MATERIALES!$A:$B,2,0),"")</f>
        <v/>
      </c>
      <c r="E59" s="18" t="str">
        <f>IFERROR(VLOOKUP(C59,MATERIALES!$A:$F,6,0),"")</f>
        <v/>
      </c>
      <c r="F59" s="19">
        <f>IFERROR(VLOOKUP(C59,MATERIALES!$A:$I,9,0),0)</f>
        <v>0</v>
      </c>
      <c r="G59" s="17"/>
      <c r="H59" s="20">
        <f t="shared" si="0"/>
        <v>0</v>
      </c>
      <c r="I59" s="33"/>
    </row>
    <row r="60" spans="1:9">
      <c r="A60" s="17"/>
      <c r="B60" s="17"/>
      <c r="C60" s="17"/>
      <c r="D60" s="18" t="str">
        <f>IFERROR(VLOOKUP(C60,MATERIALES!$A:$B,2,0),"")</f>
        <v/>
      </c>
      <c r="E60" s="18" t="str">
        <f>IFERROR(VLOOKUP(C60,MATERIALES!$A:$F,6,0),"")</f>
        <v/>
      </c>
      <c r="F60" s="19">
        <f>IFERROR(VLOOKUP(C60,MATERIALES!$A:$I,9,0),0)</f>
        <v>0</v>
      </c>
      <c r="G60" s="17"/>
      <c r="H60" s="20">
        <f t="shared" si="0"/>
        <v>0</v>
      </c>
      <c r="I60" s="33"/>
    </row>
    <row r="61" spans="1:9">
      <c r="A61" s="17"/>
      <c r="B61" s="17"/>
      <c r="C61" s="17"/>
      <c r="D61" s="18" t="str">
        <f>IFERROR(VLOOKUP(C61,MATERIALES!$A:$B,2,0),"")</f>
        <v/>
      </c>
      <c r="E61" s="18" t="str">
        <f>IFERROR(VLOOKUP(C61,MATERIALES!$A:$F,6,0),"")</f>
        <v/>
      </c>
      <c r="F61" s="19">
        <f>IFERROR(VLOOKUP(C61,MATERIALES!$A:$I,9,0),0)</f>
        <v>0</v>
      </c>
      <c r="G61" s="17"/>
      <c r="H61" s="20">
        <f t="shared" si="0"/>
        <v>0</v>
      </c>
      <c r="I61" s="33"/>
    </row>
    <row r="62" spans="1:9">
      <c r="A62" s="17"/>
      <c r="B62" s="17"/>
      <c r="C62" s="17"/>
      <c r="D62" s="18" t="str">
        <f>IFERROR(VLOOKUP(C62,MATERIALES!$A:$B,2,0),"")</f>
        <v/>
      </c>
      <c r="E62" s="18" t="str">
        <f>IFERROR(VLOOKUP(C62,MATERIALES!$A:$F,6,0),"")</f>
        <v/>
      </c>
      <c r="F62" s="19">
        <f>IFERROR(VLOOKUP(C62,MATERIALES!$A:$I,9,0),0)</f>
        <v>0</v>
      </c>
      <c r="G62" s="17"/>
      <c r="H62" s="20">
        <f t="shared" si="0"/>
        <v>0</v>
      </c>
      <c r="I62" s="33"/>
    </row>
    <row r="63" spans="1:9">
      <c r="A63" s="17"/>
      <c r="B63" s="17"/>
      <c r="C63" s="17"/>
      <c r="D63" s="18" t="str">
        <f>IFERROR(VLOOKUP(C63,MATERIALES!$A:$B,2,0),"")</f>
        <v/>
      </c>
      <c r="E63" s="18" t="str">
        <f>IFERROR(VLOOKUP(C63,MATERIALES!$A:$F,6,0),"")</f>
        <v/>
      </c>
      <c r="F63" s="19">
        <f>IFERROR(VLOOKUP(C63,MATERIALES!$A:$I,9,0),0)</f>
        <v>0</v>
      </c>
      <c r="G63" s="17"/>
      <c r="H63" s="20">
        <f t="shared" si="0"/>
        <v>0</v>
      </c>
      <c r="I63" s="33"/>
    </row>
    <row r="64" spans="1:9">
      <c r="A64" s="17"/>
      <c r="B64" s="17"/>
      <c r="C64" s="17"/>
      <c r="D64" s="18" t="str">
        <f>IFERROR(VLOOKUP(C64,MATERIALES!$A:$B,2,0),"")</f>
        <v/>
      </c>
      <c r="E64" s="18" t="str">
        <f>IFERROR(VLOOKUP(C64,MATERIALES!$A:$F,6,0),"")</f>
        <v/>
      </c>
      <c r="F64" s="19">
        <f>IFERROR(VLOOKUP(C64,MATERIALES!$A:$I,9,0),0)</f>
        <v>0</v>
      </c>
      <c r="G64" s="17"/>
      <c r="H64" s="20">
        <f t="shared" si="0"/>
        <v>0</v>
      </c>
      <c r="I64" s="33"/>
    </row>
    <row r="65" spans="1:9">
      <c r="A65" s="17"/>
      <c r="B65" s="17"/>
      <c r="C65" s="17"/>
      <c r="D65" s="18" t="str">
        <f>IFERROR(VLOOKUP(C65,MATERIALES!$A:$B,2,0),"")</f>
        <v/>
      </c>
      <c r="E65" s="18" t="str">
        <f>IFERROR(VLOOKUP(C65,MATERIALES!$A:$F,6,0),"")</f>
        <v/>
      </c>
      <c r="F65" s="19">
        <f>IFERROR(VLOOKUP(C65,MATERIALES!$A:$I,9,0),0)</f>
        <v>0</v>
      </c>
      <c r="G65" s="17"/>
      <c r="H65" s="20">
        <f t="shared" si="0"/>
        <v>0</v>
      </c>
      <c r="I65" s="33"/>
    </row>
    <row r="66" spans="1:9">
      <c r="A66" s="17"/>
      <c r="B66" s="17"/>
      <c r="C66" s="17"/>
      <c r="D66" s="18" t="str">
        <f>IFERROR(VLOOKUP(C66,MATERIALES!$A:$B,2,0),"")</f>
        <v/>
      </c>
      <c r="E66" s="18" t="str">
        <f>IFERROR(VLOOKUP(C66,MATERIALES!$A:$F,6,0),"")</f>
        <v/>
      </c>
      <c r="F66" s="19">
        <f>IFERROR(VLOOKUP(C66,MATERIALES!$A:$I,9,0),0)</f>
        <v>0</v>
      </c>
      <c r="G66" s="17"/>
      <c r="H66" s="20">
        <f t="shared" si="0"/>
        <v>0</v>
      </c>
      <c r="I66" s="33"/>
    </row>
    <row r="67" spans="1:9">
      <c r="A67" s="17"/>
      <c r="B67" s="17"/>
      <c r="C67" s="17"/>
      <c r="D67" s="18" t="str">
        <f>IFERROR(VLOOKUP(C67,MATERIALES!$A:$B,2,0),"")</f>
        <v/>
      </c>
      <c r="E67" s="18" t="str">
        <f>IFERROR(VLOOKUP(C67,MATERIALES!$A:$F,6,0),"")</f>
        <v/>
      </c>
      <c r="F67" s="19">
        <f>IFERROR(VLOOKUP(C67,MATERIALES!$A:$I,9,0),0)</f>
        <v>0</v>
      </c>
      <c r="G67" s="17"/>
      <c r="H67" s="20">
        <f t="shared" si="0"/>
        <v>0</v>
      </c>
      <c r="I67" s="33"/>
    </row>
    <row r="68" spans="1:9">
      <c r="A68" s="17"/>
      <c r="B68" s="17"/>
      <c r="C68" s="17"/>
      <c r="D68" s="18" t="str">
        <f>IFERROR(VLOOKUP(C68,MATERIALES!$A:$B,2,0),"")</f>
        <v/>
      </c>
      <c r="E68" s="18" t="str">
        <f>IFERROR(VLOOKUP(C68,MATERIALES!$A:$F,6,0),"")</f>
        <v/>
      </c>
      <c r="F68" s="19">
        <f>IFERROR(VLOOKUP(C68,MATERIALES!$A:$I,9,0),0)</f>
        <v>0</v>
      </c>
      <c r="G68" s="17"/>
      <c r="H68" s="20">
        <f t="shared" si="0"/>
        <v>0</v>
      </c>
      <c r="I68" s="33"/>
    </row>
    <row r="69" spans="1:9">
      <c r="A69" s="17"/>
      <c r="B69" s="17"/>
      <c r="C69" s="17"/>
      <c r="D69" s="18" t="str">
        <f>IFERROR(VLOOKUP(C69,MATERIALES!$A:$B,2,0),"")</f>
        <v/>
      </c>
      <c r="E69" s="18" t="str">
        <f>IFERROR(VLOOKUP(C69,MATERIALES!$A:$F,6,0),"")</f>
        <v/>
      </c>
      <c r="F69" s="19">
        <f>IFERROR(VLOOKUP(C69,MATERIALES!$A:$I,9,0),0)</f>
        <v>0</v>
      </c>
      <c r="G69" s="17"/>
      <c r="H69" s="20">
        <f t="shared" ref="H69:H132" si="1">IFERROR(G69*F69,0)</f>
        <v>0</v>
      </c>
      <c r="I69" s="33"/>
    </row>
    <row r="70" spans="1:9">
      <c r="A70" s="17"/>
      <c r="B70" s="17"/>
      <c r="C70" s="17"/>
      <c r="D70" s="18" t="str">
        <f>IFERROR(VLOOKUP(C70,MATERIALES!$A:$B,2,0),"")</f>
        <v/>
      </c>
      <c r="E70" s="18" t="str">
        <f>IFERROR(VLOOKUP(C70,MATERIALES!$A:$F,6,0),"")</f>
        <v/>
      </c>
      <c r="F70" s="19">
        <f>IFERROR(VLOOKUP(C70,MATERIALES!$A:$I,9,0),0)</f>
        <v>0</v>
      </c>
      <c r="G70" s="17"/>
      <c r="H70" s="20">
        <f t="shared" si="1"/>
        <v>0</v>
      </c>
      <c r="I70" s="33"/>
    </row>
    <row r="71" spans="1:9">
      <c r="A71" s="17"/>
      <c r="B71" s="17"/>
      <c r="C71" s="17"/>
      <c r="D71" s="18" t="str">
        <f>IFERROR(VLOOKUP(C71,MATERIALES!$A:$B,2,0),"")</f>
        <v/>
      </c>
      <c r="E71" s="18" t="str">
        <f>IFERROR(VLOOKUP(C71,MATERIALES!$A:$F,6,0),"")</f>
        <v/>
      </c>
      <c r="F71" s="19">
        <f>IFERROR(VLOOKUP(C71,MATERIALES!$A:$I,9,0),0)</f>
        <v>0</v>
      </c>
      <c r="G71" s="17"/>
      <c r="H71" s="20">
        <f t="shared" si="1"/>
        <v>0</v>
      </c>
      <c r="I71" s="33"/>
    </row>
    <row r="72" spans="1:9">
      <c r="A72" s="17"/>
      <c r="B72" s="17"/>
      <c r="C72" s="17"/>
      <c r="D72" s="18" t="str">
        <f>IFERROR(VLOOKUP(C72,MATERIALES!$A:$B,2,0),"")</f>
        <v/>
      </c>
      <c r="E72" s="18" t="str">
        <f>IFERROR(VLOOKUP(C72,MATERIALES!$A:$F,6,0),"")</f>
        <v/>
      </c>
      <c r="F72" s="19">
        <f>IFERROR(VLOOKUP(C72,MATERIALES!$A:$I,9,0),0)</f>
        <v>0</v>
      </c>
      <c r="G72" s="17"/>
      <c r="H72" s="20">
        <f t="shared" si="1"/>
        <v>0</v>
      </c>
      <c r="I72" s="33"/>
    </row>
    <row r="73" spans="1:9">
      <c r="A73" s="17"/>
      <c r="B73" s="17"/>
      <c r="C73" s="17"/>
      <c r="D73" s="18" t="str">
        <f>IFERROR(VLOOKUP(C73,MATERIALES!$A:$B,2,0),"")</f>
        <v/>
      </c>
      <c r="E73" s="18" t="str">
        <f>IFERROR(VLOOKUP(C73,MATERIALES!$A:$F,6,0),"")</f>
        <v/>
      </c>
      <c r="F73" s="19">
        <f>IFERROR(VLOOKUP(C73,MATERIALES!$A:$I,9,0),0)</f>
        <v>0</v>
      </c>
      <c r="G73" s="17"/>
      <c r="H73" s="20">
        <f t="shared" si="1"/>
        <v>0</v>
      </c>
      <c r="I73" s="33"/>
    </row>
    <row r="74" spans="1:9">
      <c r="A74" s="17"/>
      <c r="B74" s="17"/>
      <c r="C74" s="17"/>
      <c r="D74" s="18" t="str">
        <f>IFERROR(VLOOKUP(C74,MATERIALES!$A:$B,2,0),"")</f>
        <v/>
      </c>
      <c r="E74" s="18" t="str">
        <f>IFERROR(VLOOKUP(C74,MATERIALES!$A:$F,6,0),"")</f>
        <v/>
      </c>
      <c r="F74" s="19">
        <f>IFERROR(VLOOKUP(C74,MATERIALES!$A:$I,9,0),0)</f>
        <v>0</v>
      </c>
      <c r="G74" s="17"/>
      <c r="H74" s="20">
        <f t="shared" si="1"/>
        <v>0</v>
      </c>
      <c r="I74" s="33"/>
    </row>
    <row r="75" spans="1:9">
      <c r="A75" s="17"/>
      <c r="B75" s="17"/>
      <c r="C75" s="17"/>
      <c r="D75" s="18" t="str">
        <f>IFERROR(VLOOKUP(C75,MATERIALES!$A:$B,2,0),"")</f>
        <v/>
      </c>
      <c r="E75" s="18" t="str">
        <f>IFERROR(VLOOKUP(C75,MATERIALES!$A:$F,6,0),"")</f>
        <v/>
      </c>
      <c r="F75" s="19">
        <f>IFERROR(VLOOKUP(C75,MATERIALES!$A:$I,9,0),0)</f>
        <v>0</v>
      </c>
      <c r="G75" s="17"/>
      <c r="H75" s="20">
        <f t="shared" si="1"/>
        <v>0</v>
      </c>
      <c r="I75" s="33"/>
    </row>
    <row r="76" spans="1:9">
      <c r="A76" s="17"/>
      <c r="B76" s="17"/>
      <c r="C76" s="17"/>
      <c r="D76" s="18" t="str">
        <f>IFERROR(VLOOKUP(C76,MATERIALES!$A:$B,2,0),"")</f>
        <v/>
      </c>
      <c r="E76" s="18" t="str">
        <f>IFERROR(VLOOKUP(C76,MATERIALES!$A:$F,6,0),"")</f>
        <v/>
      </c>
      <c r="F76" s="19">
        <f>IFERROR(VLOOKUP(C76,MATERIALES!$A:$I,9,0),0)</f>
        <v>0</v>
      </c>
      <c r="G76" s="17"/>
      <c r="H76" s="20">
        <f t="shared" si="1"/>
        <v>0</v>
      </c>
      <c r="I76" s="33"/>
    </row>
    <row r="77" spans="1:9">
      <c r="A77" s="17"/>
      <c r="B77" s="17"/>
      <c r="C77" s="17"/>
      <c r="D77" s="18" t="str">
        <f>IFERROR(VLOOKUP(C77,MATERIALES!$A:$B,2,0),"")</f>
        <v/>
      </c>
      <c r="E77" s="18" t="str">
        <f>IFERROR(VLOOKUP(C77,MATERIALES!$A:$F,6,0),"")</f>
        <v/>
      </c>
      <c r="F77" s="19">
        <f>IFERROR(VLOOKUP(C77,MATERIALES!$A:$I,9,0),0)</f>
        <v>0</v>
      </c>
      <c r="G77" s="17"/>
      <c r="H77" s="20">
        <f t="shared" si="1"/>
        <v>0</v>
      </c>
      <c r="I77" s="33"/>
    </row>
    <row r="78" spans="1:9">
      <c r="A78" s="17"/>
      <c r="B78" s="17"/>
      <c r="C78" s="17"/>
      <c r="D78" s="18" t="str">
        <f>IFERROR(VLOOKUP(C78,MATERIALES!$A:$B,2,0),"")</f>
        <v/>
      </c>
      <c r="E78" s="18" t="str">
        <f>IFERROR(VLOOKUP(C78,MATERIALES!$A:$F,6,0),"")</f>
        <v/>
      </c>
      <c r="F78" s="19">
        <f>IFERROR(VLOOKUP(C78,MATERIALES!$A:$I,9,0),0)</f>
        <v>0</v>
      </c>
      <c r="G78" s="17"/>
      <c r="H78" s="20">
        <f t="shared" si="1"/>
        <v>0</v>
      </c>
      <c r="I78" s="33"/>
    </row>
    <row r="79" spans="1:9">
      <c r="A79" s="17"/>
      <c r="B79" s="17"/>
      <c r="C79" s="17"/>
      <c r="D79" s="18" t="str">
        <f>IFERROR(VLOOKUP(C79,MATERIALES!$A:$B,2,0),"")</f>
        <v/>
      </c>
      <c r="E79" s="18" t="str">
        <f>IFERROR(VLOOKUP(C79,MATERIALES!$A:$F,6,0),"")</f>
        <v/>
      </c>
      <c r="F79" s="19">
        <f>IFERROR(VLOOKUP(C79,MATERIALES!$A:$I,9,0),0)</f>
        <v>0</v>
      </c>
      <c r="G79" s="17"/>
      <c r="H79" s="20">
        <f t="shared" si="1"/>
        <v>0</v>
      </c>
      <c r="I79" s="33"/>
    </row>
    <row r="80" spans="1:9">
      <c r="A80" s="17"/>
      <c r="B80" s="17"/>
      <c r="C80" s="17"/>
      <c r="D80" s="18" t="str">
        <f>IFERROR(VLOOKUP(C80,MATERIALES!$A:$B,2,0),"")</f>
        <v/>
      </c>
      <c r="E80" s="18" t="str">
        <f>IFERROR(VLOOKUP(C80,MATERIALES!$A:$F,6,0),"")</f>
        <v/>
      </c>
      <c r="F80" s="19">
        <f>IFERROR(VLOOKUP(C80,MATERIALES!$A:$I,9,0),0)</f>
        <v>0</v>
      </c>
      <c r="G80" s="17"/>
      <c r="H80" s="20">
        <f t="shared" si="1"/>
        <v>0</v>
      </c>
      <c r="I80" s="33"/>
    </row>
    <row r="81" spans="1:9">
      <c r="A81" s="17"/>
      <c r="B81" s="17"/>
      <c r="C81" s="17"/>
      <c r="D81" s="18" t="str">
        <f>IFERROR(VLOOKUP(C81,MATERIALES!$A:$B,2,0),"")</f>
        <v/>
      </c>
      <c r="E81" s="18" t="str">
        <f>IFERROR(VLOOKUP(C81,MATERIALES!$A:$F,6,0),"")</f>
        <v/>
      </c>
      <c r="F81" s="19">
        <f>IFERROR(VLOOKUP(C81,MATERIALES!$A:$I,9,0),0)</f>
        <v>0</v>
      </c>
      <c r="G81" s="17"/>
      <c r="H81" s="20">
        <f t="shared" si="1"/>
        <v>0</v>
      </c>
      <c r="I81" s="33"/>
    </row>
    <row r="82" spans="1:9">
      <c r="A82" s="17"/>
      <c r="B82" s="17"/>
      <c r="C82" s="17"/>
      <c r="D82" s="18" t="str">
        <f>IFERROR(VLOOKUP(C82,MATERIALES!$A:$B,2,0),"")</f>
        <v/>
      </c>
      <c r="E82" s="18" t="str">
        <f>IFERROR(VLOOKUP(C82,MATERIALES!$A:$F,6,0),"")</f>
        <v/>
      </c>
      <c r="F82" s="19">
        <f>IFERROR(VLOOKUP(C82,MATERIALES!$A:$I,9,0),0)</f>
        <v>0</v>
      </c>
      <c r="G82" s="17"/>
      <c r="H82" s="20">
        <f t="shared" si="1"/>
        <v>0</v>
      </c>
      <c r="I82" s="33"/>
    </row>
    <row r="83" spans="1:9">
      <c r="A83" s="17"/>
      <c r="B83" s="17"/>
      <c r="C83" s="17"/>
      <c r="D83" s="18" t="str">
        <f>IFERROR(VLOOKUP(C83,MATERIALES!$A:$B,2,0),"")</f>
        <v/>
      </c>
      <c r="E83" s="18" t="str">
        <f>IFERROR(VLOOKUP(C83,MATERIALES!$A:$F,6,0),"")</f>
        <v/>
      </c>
      <c r="F83" s="19">
        <f>IFERROR(VLOOKUP(C83,MATERIALES!$A:$I,9,0),0)</f>
        <v>0</v>
      </c>
      <c r="G83" s="17"/>
      <c r="H83" s="20">
        <f t="shared" si="1"/>
        <v>0</v>
      </c>
      <c r="I83" s="33"/>
    </row>
    <row r="84" spans="1:9">
      <c r="A84" s="17"/>
      <c r="B84" s="17"/>
      <c r="C84" s="17"/>
      <c r="D84" s="18" t="str">
        <f>IFERROR(VLOOKUP(C84,MATERIALES!$A:$B,2,0),"")</f>
        <v/>
      </c>
      <c r="E84" s="18" t="str">
        <f>IFERROR(VLOOKUP(C84,MATERIALES!$A:$F,6,0),"")</f>
        <v/>
      </c>
      <c r="F84" s="19">
        <f>IFERROR(VLOOKUP(C84,MATERIALES!$A:$I,9,0),0)</f>
        <v>0</v>
      </c>
      <c r="G84" s="17"/>
      <c r="H84" s="20">
        <f t="shared" si="1"/>
        <v>0</v>
      </c>
      <c r="I84" s="33"/>
    </row>
    <row r="85" spans="1:9">
      <c r="A85" s="17"/>
      <c r="B85" s="17"/>
      <c r="C85" s="17"/>
      <c r="D85" s="18" t="str">
        <f>IFERROR(VLOOKUP(C85,MATERIALES!$A:$B,2,0),"")</f>
        <v/>
      </c>
      <c r="E85" s="18" t="str">
        <f>IFERROR(VLOOKUP(C85,MATERIALES!$A:$F,6,0),"")</f>
        <v/>
      </c>
      <c r="F85" s="19">
        <f>IFERROR(VLOOKUP(C85,MATERIALES!$A:$I,9,0),0)</f>
        <v>0</v>
      </c>
      <c r="G85" s="17"/>
      <c r="H85" s="20">
        <f t="shared" si="1"/>
        <v>0</v>
      </c>
      <c r="I85" s="33"/>
    </row>
    <row r="86" spans="1:9">
      <c r="A86" s="17"/>
      <c r="B86" s="17"/>
      <c r="C86" s="17"/>
      <c r="D86" s="18" t="str">
        <f>IFERROR(VLOOKUP(C86,MATERIALES!$A:$B,2,0),"")</f>
        <v/>
      </c>
      <c r="E86" s="18" t="str">
        <f>IFERROR(VLOOKUP(C86,MATERIALES!$A:$F,6,0),"")</f>
        <v/>
      </c>
      <c r="F86" s="19">
        <f>IFERROR(VLOOKUP(C86,MATERIALES!$A:$I,9,0),0)</f>
        <v>0</v>
      </c>
      <c r="G86" s="17"/>
      <c r="H86" s="20">
        <f t="shared" si="1"/>
        <v>0</v>
      </c>
      <c r="I86" s="33"/>
    </row>
    <row r="87" spans="1:9">
      <c r="A87" s="17"/>
      <c r="B87" s="17"/>
      <c r="C87" s="17"/>
      <c r="D87" s="18" t="str">
        <f>IFERROR(VLOOKUP(C87,MATERIALES!$A:$B,2,0),"")</f>
        <v/>
      </c>
      <c r="E87" s="18" t="str">
        <f>IFERROR(VLOOKUP(C87,MATERIALES!$A:$F,6,0),"")</f>
        <v/>
      </c>
      <c r="F87" s="19">
        <f>IFERROR(VLOOKUP(C87,MATERIALES!$A:$I,9,0),0)</f>
        <v>0</v>
      </c>
      <c r="G87" s="17"/>
      <c r="H87" s="20">
        <f t="shared" si="1"/>
        <v>0</v>
      </c>
      <c r="I87" s="33"/>
    </row>
    <row r="88" spans="1:9">
      <c r="A88" s="17"/>
      <c r="B88" s="17"/>
      <c r="C88" s="17"/>
      <c r="D88" s="18" t="str">
        <f>IFERROR(VLOOKUP(C88,MATERIALES!$A:$B,2,0),"")</f>
        <v/>
      </c>
      <c r="E88" s="18" t="str">
        <f>IFERROR(VLOOKUP(C88,MATERIALES!$A:$F,6,0),"")</f>
        <v/>
      </c>
      <c r="F88" s="19">
        <f>IFERROR(VLOOKUP(C88,MATERIALES!$A:$I,9,0),0)</f>
        <v>0</v>
      </c>
      <c r="G88" s="17"/>
      <c r="H88" s="20">
        <f t="shared" si="1"/>
        <v>0</v>
      </c>
      <c r="I88" s="33"/>
    </row>
    <row r="89" spans="1:9">
      <c r="A89" s="17"/>
      <c r="B89" s="17"/>
      <c r="C89" s="17"/>
      <c r="D89" s="18" t="str">
        <f>IFERROR(VLOOKUP(C89,MATERIALES!$A:$B,2,0),"")</f>
        <v/>
      </c>
      <c r="E89" s="18" t="str">
        <f>IFERROR(VLOOKUP(C89,MATERIALES!$A:$F,6,0),"")</f>
        <v/>
      </c>
      <c r="F89" s="19">
        <f>IFERROR(VLOOKUP(C89,MATERIALES!$A:$I,9,0),0)</f>
        <v>0</v>
      </c>
      <c r="G89" s="17"/>
      <c r="H89" s="20">
        <f t="shared" si="1"/>
        <v>0</v>
      </c>
      <c r="I89" s="33"/>
    </row>
    <row r="90" spans="1:9">
      <c r="A90" s="17"/>
      <c r="B90" s="17"/>
      <c r="C90" s="17"/>
      <c r="D90" s="18" t="str">
        <f>IFERROR(VLOOKUP(C90,MATERIALES!$A:$B,2,0),"")</f>
        <v/>
      </c>
      <c r="E90" s="18" t="str">
        <f>IFERROR(VLOOKUP(C90,MATERIALES!$A:$F,6,0),"")</f>
        <v/>
      </c>
      <c r="F90" s="19">
        <f>IFERROR(VLOOKUP(C90,MATERIALES!$A:$I,9,0),0)</f>
        <v>0</v>
      </c>
      <c r="G90" s="17"/>
      <c r="H90" s="20">
        <f t="shared" si="1"/>
        <v>0</v>
      </c>
      <c r="I90" s="33"/>
    </row>
    <row r="91" spans="1:9">
      <c r="A91" s="17"/>
      <c r="B91" s="17"/>
      <c r="C91" s="17"/>
      <c r="D91" s="18" t="str">
        <f>IFERROR(VLOOKUP(C91,MATERIALES!$A:$B,2,0),"")</f>
        <v/>
      </c>
      <c r="E91" s="18" t="str">
        <f>IFERROR(VLOOKUP(C91,MATERIALES!$A:$F,6,0),"")</f>
        <v/>
      </c>
      <c r="F91" s="19">
        <f>IFERROR(VLOOKUP(C91,MATERIALES!$A:$I,9,0),0)</f>
        <v>0</v>
      </c>
      <c r="G91" s="17"/>
      <c r="H91" s="20">
        <f t="shared" si="1"/>
        <v>0</v>
      </c>
      <c r="I91" s="33"/>
    </row>
    <row r="92" spans="1:9">
      <c r="A92" s="17"/>
      <c r="B92" s="17"/>
      <c r="C92" s="17"/>
      <c r="D92" s="18" t="str">
        <f>IFERROR(VLOOKUP(C92,MATERIALES!$A:$B,2,0),"")</f>
        <v/>
      </c>
      <c r="E92" s="18" t="str">
        <f>IFERROR(VLOOKUP(C92,MATERIALES!$A:$F,6,0),"")</f>
        <v/>
      </c>
      <c r="F92" s="19">
        <f>IFERROR(VLOOKUP(C92,MATERIALES!$A:$I,9,0),0)</f>
        <v>0</v>
      </c>
      <c r="G92" s="17"/>
      <c r="H92" s="20">
        <f t="shared" si="1"/>
        <v>0</v>
      </c>
      <c r="I92" s="33"/>
    </row>
    <row r="93" spans="1:9">
      <c r="A93" s="17"/>
      <c r="B93" s="17"/>
      <c r="C93" s="17"/>
      <c r="D93" s="18" t="str">
        <f>IFERROR(VLOOKUP(C93,MATERIALES!$A:$B,2,0),"")</f>
        <v/>
      </c>
      <c r="E93" s="18" t="str">
        <f>IFERROR(VLOOKUP(C93,MATERIALES!$A:$F,6,0),"")</f>
        <v/>
      </c>
      <c r="F93" s="19">
        <f>IFERROR(VLOOKUP(C93,MATERIALES!$A:$I,9,0),0)</f>
        <v>0</v>
      </c>
      <c r="G93" s="17"/>
      <c r="H93" s="20">
        <f t="shared" si="1"/>
        <v>0</v>
      </c>
      <c r="I93" s="33"/>
    </row>
    <row r="94" spans="1:9">
      <c r="A94" s="17"/>
      <c r="B94" s="17"/>
      <c r="C94" s="17"/>
      <c r="D94" s="18" t="str">
        <f>IFERROR(VLOOKUP(C94,MATERIALES!$A:$B,2,0),"")</f>
        <v/>
      </c>
      <c r="E94" s="18" t="str">
        <f>IFERROR(VLOOKUP(C94,MATERIALES!$A:$F,6,0),"")</f>
        <v/>
      </c>
      <c r="F94" s="19">
        <f>IFERROR(VLOOKUP(C94,MATERIALES!$A:$I,9,0),0)</f>
        <v>0</v>
      </c>
      <c r="G94" s="17"/>
      <c r="H94" s="20">
        <f t="shared" si="1"/>
        <v>0</v>
      </c>
      <c r="I94" s="33"/>
    </row>
    <row r="95" spans="1:9">
      <c r="A95" s="17"/>
      <c r="B95" s="17"/>
      <c r="C95" s="17"/>
      <c r="D95" s="18" t="str">
        <f>IFERROR(VLOOKUP(C95,MATERIALES!$A:$B,2,0),"")</f>
        <v/>
      </c>
      <c r="E95" s="18" t="str">
        <f>IFERROR(VLOOKUP(C95,MATERIALES!$A:$F,6,0),"")</f>
        <v/>
      </c>
      <c r="F95" s="19">
        <f>IFERROR(VLOOKUP(C95,MATERIALES!$A:$I,9,0),0)</f>
        <v>0</v>
      </c>
      <c r="G95" s="17"/>
      <c r="H95" s="20">
        <f t="shared" si="1"/>
        <v>0</v>
      </c>
      <c r="I95" s="33"/>
    </row>
    <row r="96" spans="1:9">
      <c r="A96" s="17"/>
      <c r="B96" s="17"/>
      <c r="C96" s="17"/>
      <c r="D96" s="18" t="str">
        <f>IFERROR(VLOOKUP(C96,MATERIALES!$A:$B,2,0),"")</f>
        <v/>
      </c>
      <c r="E96" s="18" t="str">
        <f>IFERROR(VLOOKUP(C96,MATERIALES!$A:$F,6,0),"")</f>
        <v/>
      </c>
      <c r="F96" s="19">
        <f>IFERROR(VLOOKUP(C96,MATERIALES!$A:$I,9,0),0)</f>
        <v>0</v>
      </c>
      <c r="G96" s="17"/>
      <c r="H96" s="20">
        <f t="shared" si="1"/>
        <v>0</v>
      </c>
      <c r="I96" s="33"/>
    </row>
    <row r="97" spans="1:9">
      <c r="A97" s="17"/>
      <c r="B97" s="17"/>
      <c r="C97" s="17"/>
      <c r="D97" s="18" t="str">
        <f>IFERROR(VLOOKUP(C97,MATERIALES!$A:$B,2,0),"")</f>
        <v/>
      </c>
      <c r="E97" s="18" t="str">
        <f>IFERROR(VLOOKUP(C97,MATERIALES!$A:$F,6,0),"")</f>
        <v/>
      </c>
      <c r="F97" s="19">
        <f>IFERROR(VLOOKUP(C97,MATERIALES!$A:$I,9,0),0)</f>
        <v>0</v>
      </c>
      <c r="G97" s="17"/>
      <c r="H97" s="20">
        <f t="shared" si="1"/>
        <v>0</v>
      </c>
      <c r="I97" s="33"/>
    </row>
    <row r="98" spans="1:9">
      <c r="A98" s="17"/>
      <c r="B98" s="17"/>
      <c r="C98" s="17"/>
      <c r="D98" s="18" t="str">
        <f>IFERROR(VLOOKUP(C98,MATERIALES!$A:$B,2,0),"")</f>
        <v/>
      </c>
      <c r="E98" s="18" t="str">
        <f>IFERROR(VLOOKUP(C98,MATERIALES!$A:$F,6,0),"")</f>
        <v/>
      </c>
      <c r="F98" s="19">
        <f>IFERROR(VLOOKUP(C98,MATERIALES!$A:$I,9,0),0)</f>
        <v>0</v>
      </c>
      <c r="G98" s="17"/>
      <c r="H98" s="20">
        <f t="shared" si="1"/>
        <v>0</v>
      </c>
      <c r="I98" s="33"/>
    </row>
    <row r="99" spans="1:9">
      <c r="A99" s="17"/>
      <c r="B99" s="17"/>
      <c r="C99" s="17"/>
      <c r="D99" s="18" t="str">
        <f>IFERROR(VLOOKUP(C99,MATERIALES!$A:$B,2,0),"")</f>
        <v/>
      </c>
      <c r="E99" s="18" t="str">
        <f>IFERROR(VLOOKUP(C99,MATERIALES!$A:$F,6,0),"")</f>
        <v/>
      </c>
      <c r="F99" s="19">
        <f>IFERROR(VLOOKUP(C99,MATERIALES!$A:$I,9,0),0)</f>
        <v>0</v>
      </c>
      <c r="G99" s="17"/>
      <c r="H99" s="20">
        <f t="shared" si="1"/>
        <v>0</v>
      </c>
      <c r="I99" s="33"/>
    </row>
    <row r="100" spans="1:9">
      <c r="A100" s="17"/>
      <c r="B100" s="17"/>
      <c r="C100" s="17"/>
      <c r="D100" s="18" t="str">
        <f>IFERROR(VLOOKUP(C100,MATERIALES!$A:$B,2,0),"")</f>
        <v/>
      </c>
      <c r="E100" s="18" t="str">
        <f>IFERROR(VLOOKUP(C100,MATERIALES!$A:$F,6,0),"")</f>
        <v/>
      </c>
      <c r="F100" s="19">
        <f>IFERROR(VLOOKUP(C100,MATERIALES!$A:$I,9,0),0)</f>
        <v>0</v>
      </c>
      <c r="G100" s="17"/>
      <c r="H100" s="20">
        <f t="shared" si="1"/>
        <v>0</v>
      </c>
      <c r="I100" s="33"/>
    </row>
    <row r="101" spans="1:9">
      <c r="A101" s="17"/>
      <c r="B101" s="17"/>
      <c r="C101" s="17"/>
      <c r="D101" s="18" t="str">
        <f>IFERROR(VLOOKUP(C101,MATERIALES!$A:$B,2,0),"")</f>
        <v/>
      </c>
      <c r="E101" s="18" t="str">
        <f>IFERROR(VLOOKUP(C101,MATERIALES!$A:$F,6,0),"")</f>
        <v/>
      </c>
      <c r="F101" s="19">
        <f>IFERROR(VLOOKUP(C101,MATERIALES!$A:$I,9,0),0)</f>
        <v>0</v>
      </c>
      <c r="G101" s="17"/>
      <c r="H101" s="20">
        <f t="shared" si="1"/>
        <v>0</v>
      </c>
      <c r="I101" s="33"/>
    </row>
    <row r="102" spans="1:9">
      <c r="A102" s="17"/>
      <c r="B102" s="17"/>
      <c r="C102" s="17"/>
      <c r="D102" s="18" t="str">
        <f>IFERROR(VLOOKUP(C102,MATERIALES!$A:$B,2,0),"")</f>
        <v/>
      </c>
      <c r="E102" s="18" t="str">
        <f>IFERROR(VLOOKUP(C102,MATERIALES!$A:$F,6,0),"")</f>
        <v/>
      </c>
      <c r="F102" s="19">
        <f>IFERROR(VLOOKUP(C102,MATERIALES!$A:$I,9,0),0)</f>
        <v>0</v>
      </c>
      <c r="G102" s="17"/>
      <c r="H102" s="20">
        <f t="shared" si="1"/>
        <v>0</v>
      </c>
      <c r="I102" s="33"/>
    </row>
    <row r="103" spans="1:9">
      <c r="A103" s="17"/>
      <c r="B103" s="17"/>
      <c r="C103" s="17"/>
      <c r="D103" s="18" t="str">
        <f>IFERROR(VLOOKUP(C103,MATERIALES!$A:$B,2,0),"")</f>
        <v/>
      </c>
      <c r="E103" s="18" t="str">
        <f>IFERROR(VLOOKUP(C103,MATERIALES!$A:$F,6,0),"")</f>
        <v/>
      </c>
      <c r="F103" s="19">
        <f>IFERROR(VLOOKUP(C103,MATERIALES!$A:$I,9,0),0)</f>
        <v>0</v>
      </c>
      <c r="G103" s="17"/>
      <c r="H103" s="20">
        <f t="shared" si="1"/>
        <v>0</v>
      </c>
      <c r="I103" s="33"/>
    </row>
    <row r="104" spans="1:9">
      <c r="A104" s="17"/>
      <c r="B104" s="17"/>
      <c r="C104" s="17"/>
      <c r="D104" s="18" t="str">
        <f>IFERROR(VLOOKUP(C104,MATERIALES!$A:$B,2,0),"")</f>
        <v/>
      </c>
      <c r="E104" s="18" t="str">
        <f>IFERROR(VLOOKUP(C104,MATERIALES!$A:$F,6,0),"")</f>
        <v/>
      </c>
      <c r="F104" s="19">
        <f>IFERROR(VLOOKUP(C104,MATERIALES!$A:$I,9,0),0)</f>
        <v>0</v>
      </c>
      <c r="G104" s="17"/>
      <c r="H104" s="20">
        <f t="shared" si="1"/>
        <v>0</v>
      </c>
      <c r="I104" s="33"/>
    </row>
    <row r="105" spans="1:9">
      <c r="A105" s="17"/>
      <c r="B105" s="17"/>
      <c r="C105" s="17"/>
      <c r="D105" s="18" t="str">
        <f>IFERROR(VLOOKUP(C105,MATERIALES!$A:$B,2,0),"")</f>
        <v/>
      </c>
      <c r="E105" s="18" t="str">
        <f>IFERROR(VLOOKUP(C105,MATERIALES!$A:$F,6,0),"")</f>
        <v/>
      </c>
      <c r="F105" s="19">
        <f>IFERROR(VLOOKUP(C105,MATERIALES!$A:$I,9,0),0)</f>
        <v>0</v>
      </c>
      <c r="G105" s="17"/>
      <c r="H105" s="20">
        <f t="shared" si="1"/>
        <v>0</v>
      </c>
      <c r="I105" s="33"/>
    </row>
    <row r="106" spans="1:9">
      <c r="A106" s="17"/>
      <c r="B106" s="17"/>
      <c r="C106" s="17"/>
      <c r="D106" s="18" t="str">
        <f>IFERROR(VLOOKUP(C106,MATERIALES!$A:$B,2,0),"")</f>
        <v/>
      </c>
      <c r="E106" s="18" t="str">
        <f>IFERROR(VLOOKUP(C106,MATERIALES!$A:$F,6,0),"")</f>
        <v/>
      </c>
      <c r="F106" s="19">
        <f>IFERROR(VLOOKUP(C106,MATERIALES!$A:$I,9,0),0)</f>
        <v>0</v>
      </c>
      <c r="G106" s="17"/>
      <c r="H106" s="20">
        <f t="shared" si="1"/>
        <v>0</v>
      </c>
      <c r="I106" s="33"/>
    </row>
    <row r="107" spans="1:9">
      <c r="A107" s="17"/>
      <c r="B107" s="17"/>
      <c r="C107" s="17"/>
      <c r="D107" s="18" t="str">
        <f>IFERROR(VLOOKUP(C107,MATERIALES!$A:$B,2,0),"")</f>
        <v/>
      </c>
      <c r="E107" s="18" t="str">
        <f>IFERROR(VLOOKUP(C107,MATERIALES!$A:$F,6,0),"")</f>
        <v/>
      </c>
      <c r="F107" s="19">
        <f>IFERROR(VLOOKUP(C107,MATERIALES!$A:$I,9,0),0)</f>
        <v>0</v>
      </c>
      <c r="G107" s="17"/>
      <c r="H107" s="20">
        <f t="shared" si="1"/>
        <v>0</v>
      </c>
      <c r="I107" s="33"/>
    </row>
    <row r="108" spans="1:9">
      <c r="A108" s="17"/>
      <c r="B108" s="17"/>
      <c r="C108" s="17"/>
      <c r="D108" s="18" t="str">
        <f>IFERROR(VLOOKUP(C108,MATERIALES!$A:$B,2,0),"")</f>
        <v/>
      </c>
      <c r="E108" s="18" t="str">
        <f>IFERROR(VLOOKUP(C108,MATERIALES!$A:$F,6,0),"")</f>
        <v/>
      </c>
      <c r="F108" s="19">
        <f>IFERROR(VLOOKUP(C108,MATERIALES!$A:$I,9,0),0)</f>
        <v>0</v>
      </c>
      <c r="G108" s="17"/>
      <c r="H108" s="20">
        <f t="shared" si="1"/>
        <v>0</v>
      </c>
      <c r="I108" s="33"/>
    </row>
    <row r="109" spans="1:9">
      <c r="A109" s="17"/>
      <c r="B109" s="17"/>
      <c r="C109" s="17"/>
      <c r="D109" s="18" t="str">
        <f>IFERROR(VLOOKUP(C109,MATERIALES!$A:$B,2,0),"")</f>
        <v/>
      </c>
      <c r="E109" s="18" t="str">
        <f>IFERROR(VLOOKUP(C109,MATERIALES!$A:$F,6,0),"")</f>
        <v/>
      </c>
      <c r="F109" s="19">
        <f>IFERROR(VLOOKUP(C109,MATERIALES!$A:$I,9,0),0)</f>
        <v>0</v>
      </c>
      <c r="G109" s="17"/>
      <c r="H109" s="20">
        <f t="shared" si="1"/>
        <v>0</v>
      </c>
      <c r="I109" s="33"/>
    </row>
    <row r="110" spans="1:9">
      <c r="A110" s="17"/>
      <c r="B110" s="17"/>
      <c r="C110" s="17"/>
      <c r="D110" s="18" t="str">
        <f>IFERROR(VLOOKUP(C110,MATERIALES!$A:$B,2,0),"")</f>
        <v/>
      </c>
      <c r="E110" s="18" t="str">
        <f>IFERROR(VLOOKUP(C110,MATERIALES!$A:$F,6,0),"")</f>
        <v/>
      </c>
      <c r="F110" s="19">
        <f>IFERROR(VLOOKUP(C110,MATERIALES!$A:$I,9,0),0)</f>
        <v>0</v>
      </c>
      <c r="G110" s="17"/>
      <c r="H110" s="20">
        <f t="shared" si="1"/>
        <v>0</v>
      </c>
      <c r="I110" s="33"/>
    </row>
    <row r="111" spans="1:9">
      <c r="A111" s="17"/>
      <c r="B111" s="17"/>
      <c r="C111" s="17"/>
      <c r="D111" s="18" t="str">
        <f>IFERROR(VLOOKUP(C111,MATERIALES!$A:$B,2,0),"")</f>
        <v/>
      </c>
      <c r="E111" s="18" t="str">
        <f>IFERROR(VLOOKUP(C111,MATERIALES!$A:$F,6,0),"")</f>
        <v/>
      </c>
      <c r="F111" s="19">
        <f>IFERROR(VLOOKUP(C111,MATERIALES!$A:$I,9,0),0)</f>
        <v>0</v>
      </c>
      <c r="G111" s="17"/>
      <c r="H111" s="20">
        <f t="shared" si="1"/>
        <v>0</v>
      </c>
      <c r="I111" s="33"/>
    </row>
    <row r="112" spans="1:9">
      <c r="A112" s="17"/>
      <c r="B112" s="17"/>
      <c r="C112" s="17"/>
      <c r="D112" s="18" t="str">
        <f>IFERROR(VLOOKUP(C112,MATERIALES!$A:$B,2,0),"")</f>
        <v/>
      </c>
      <c r="E112" s="18" t="str">
        <f>IFERROR(VLOOKUP(C112,MATERIALES!$A:$F,6,0),"")</f>
        <v/>
      </c>
      <c r="F112" s="19">
        <f>IFERROR(VLOOKUP(C112,MATERIALES!$A:$I,9,0),0)</f>
        <v>0</v>
      </c>
      <c r="G112" s="17"/>
      <c r="H112" s="20">
        <f t="shared" si="1"/>
        <v>0</v>
      </c>
      <c r="I112" s="33"/>
    </row>
    <row r="113" spans="1:9">
      <c r="A113" s="17"/>
      <c r="B113" s="17"/>
      <c r="C113" s="17"/>
      <c r="D113" s="18" t="str">
        <f>IFERROR(VLOOKUP(C113,MATERIALES!$A:$B,2,0),"")</f>
        <v/>
      </c>
      <c r="E113" s="18" t="str">
        <f>IFERROR(VLOOKUP(C113,MATERIALES!$A:$F,6,0),"")</f>
        <v/>
      </c>
      <c r="F113" s="19">
        <f>IFERROR(VLOOKUP(C113,MATERIALES!$A:$I,9,0),0)</f>
        <v>0</v>
      </c>
      <c r="G113" s="17"/>
      <c r="H113" s="20">
        <f t="shared" si="1"/>
        <v>0</v>
      </c>
      <c r="I113" s="33"/>
    </row>
    <row r="114" spans="1:9">
      <c r="A114" s="17"/>
      <c r="B114" s="17"/>
      <c r="C114" s="17"/>
      <c r="D114" s="18" t="str">
        <f>IFERROR(VLOOKUP(C114,MATERIALES!$A:$B,2,0),"")</f>
        <v/>
      </c>
      <c r="E114" s="18" t="str">
        <f>IFERROR(VLOOKUP(C114,MATERIALES!$A:$F,6,0),"")</f>
        <v/>
      </c>
      <c r="F114" s="19">
        <f>IFERROR(VLOOKUP(C114,MATERIALES!$A:$I,9,0),0)</f>
        <v>0</v>
      </c>
      <c r="G114" s="17"/>
      <c r="H114" s="20">
        <f t="shared" si="1"/>
        <v>0</v>
      </c>
      <c r="I114" s="33"/>
    </row>
    <row r="115" spans="1:9">
      <c r="A115" s="17"/>
      <c r="B115" s="17"/>
      <c r="C115" s="17"/>
      <c r="D115" s="18" t="str">
        <f>IFERROR(VLOOKUP(C115,MATERIALES!$A:$B,2,0),"")</f>
        <v/>
      </c>
      <c r="E115" s="18" t="str">
        <f>IFERROR(VLOOKUP(C115,MATERIALES!$A:$F,6,0),"")</f>
        <v/>
      </c>
      <c r="F115" s="19">
        <f>IFERROR(VLOOKUP(C115,MATERIALES!$A:$I,9,0),0)</f>
        <v>0</v>
      </c>
      <c r="G115" s="17"/>
      <c r="H115" s="20">
        <f t="shared" si="1"/>
        <v>0</v>
      </c>
      <c r="I115" s="33"/>
    </row>
    <row r="116" spans="1:9">
      <c r="A116" s="17"/>
      <c r="B116" s="17"/>
      <c r="C116" s="17"/>
      <c r="D116" s="18" t="str">
        <f>IFERROR(VLOOKUP(C116,MATERIALES!$A:$B,2,0),"")</f>
        <v/>
      </c>
      <c r="E116" s="18" t="str">
        <f>IFERROR(VLOOKUP(C116,MATERIALES!$A:$F,6,0),"")</f>
        <v/>
      </c>
      <c r="F116" s="19">
        <f>IFERROR(VLOOKUP(C116,MATERIALES!$A:$I,9,0),0)</f>
        <v>0</v>
      </c>
      <c r="G116" s="17"/>
      <c r="H116" s="20">
        <f t="shared" si="1"/>
        <v>0</v>
      </c>
      <c r="I116" s="33"/>
    </row>
    <row r="117" spans="1:9">
      <c r="A117" s="17"/>
      <c r="B117" s="17"/>
      <c r="C117" s="17"/>
      <c r="D117" s="18" t="str">
        <f>IFERROR(VLOOKUP(C117,MATERIALES!$A:$B,2,0),"")</f>
        <v/>
      </c>
      <c r="E117" s="18" t="str">
        <f>IFERROR(VLOOKUP(C117,MATERIALES!$A:$F,6,0),"")</f>
        <v/>
      </c>
      <c r="F117" s="19">
        <f>IFERROR(VLOOKUP(C117,MATERIALES!$A:$I,9,0),0)</f>
        <v>0</v>
      </c>
      <c r="G117" s="17"/>
      <c r="H117" s="20">
        <f t="shared" si="1"/>
        <v>0</v>
      </c>
      <c r="I117" s="33"/>
    </row>
    <row r="118" spans="1:9">
      <c r="A118" s="17"/>
      <c r="B118" s="17"/>
      <c r="C118" s="17"/>
      <c r="D118" s="18" t="str">
        <f>IFERROR(VLOOKUP(C118,MATERIALES!$A:$B,2,0),"")</f>
        <v/>
      </c>
      <c r="E118" s="18" t="str">
        <f>IFERROR(VLOOKUP(C118,MATERIALES!$A:$F,6,0),"")</f>
        <v/>
      </c>
      <c r="F118" s="19">
        <f>IFERROR(VLOOKUP(C118,MATERIALES!$A:$I,9,0),0)</f>
        <v>0</v>
      </c>
      <c r="G118" s="17"/>
      <c r="H118" s="20">
        <f t="shared" si="1"/>
        <v>0</v>
      </c>
      <c r="I118" s="33"/>
    </row>
    <row r="119" spans="1:9">
      <c r="A119" s="17"/>
      <c r="B119" s="17"/>
      <c r="C119" s="17"/>
      <c r="D119" s="18" t="str">
        <f>IFERROR(VLOOKUP(C119,MATERIALES!$A:$B,2,0),"")</f>
        <v/>
      </c>
      <c r="E119" s="18" t="str">
        <f>IFERROR(VLOOKUP(C119,MATERIALES!$A:$F,6,0),"")</f>
        <v/>
      </c>
      <c r="F119" s="19">
        <f>IFERROR(VLOOKUP(C119,MATERIALES!$A:$I,9,0),0)</f>
        <v>0</v>
      </c>
      <c r="G119" s="17"/>
      <c r="H119" s="20">
        <f t="shared" si="1"/>
        <v>0</v>
      </c>
      <c r="I119" s="33"/>
    </row>
    <row r="120" spans="1:9">
      <c r="A120" s="17"/>
      <c r="B120" s="17"/>
      <c r="C120" s="17"/>
      <c r="D120" s="18" t="str">
        <f>IFERROR(VLOOKUP(C120,MATERIALES!$A:$B,2,0),"")</f>
        <v/>
      </c>
      <c r="E120" s="18" t="str">
        <f>IFERROR(VLOOKUP(C120,MATERIALES!$A:$F,6,0),"")</f>
        <v/>
      </c>
      <c r="F120" s="19">
        <f>IFERROR(VLOOKUP(C120,MATERIALES!$A:$I,9,0),0)</f>
        <v>0</v>
      </c>
      <c r="G120" s="17"/>
      <c r="H120" s="20">
        <f t="shared" si="1"/>
        <v>0</v>
      </c>
      <c r="I120" s="33"/>
    </row>
    <row r="121" spans="1:9">
      <c r="A121" s="17"/>
      <c r="B121" s="17"/>
      <c r="C121" s="17"/>
      <c r="D121" s="18" t="str">
        <f>IFERROR(VLOOKUP(C121,MATERIALES!$A:$B,2,0),"")</f>
        <v/>
      </c>
      <c r="E121" s="18" t="str">
        <f>IFERROR(VLOOKUP(C121,MATERIALES!$A:$F,6,0),"")</f>
        <v/>
      </c>
      <c r="F121" s="19">
        <f>IFERROR(VLOOKUP(C121,MATERIALES!$A:$I,9,0),0)</f>
        <v>0</v>
      </c>
      <c r="G121" s="17"/>
      <c r="H121" s="20">
        <f t="shared" si="1"/>
        <v>0</v>
      </c>
      <c r="I121" s="33"/>
    </row>
    <row r="122" spans="1:9">
      <c r="A122" s="17"/>
      <c r="B122" s="17"/>
      <c r="C122" s="17"/>
      <c r="D122" s="18" t="str">
        <f>IFERROR(VLOOKUP(C122,MATERIALES!$A:$B,2,0),"")</f>
        <v/>
      </c>
      <c r="E122" s="18" t="str">
        <f>IFERROR(VLOOKUP(C122,MATERIALES!$A:$F,6,0),"")</f>
        <v/>
      </c>
      <c r="F122" s="19">
        <f>IFERROR(VLOOKUP(C122,MATERIALES!$A:$I,9,0),0)</f>
        <v>0</v>
      </c>
      <c r="G122" s="17"/>
      <c r="H122" s="20">
        <f t="shared" si="1"/>
        <v>0</v>
      </c>
      <c r="I122" s="33"/>
    </row>
    <row r="123" spans="1:9">
      <c r="A123" s="17"/>
      <c r="B123" s="17"/>
      <c r="C123" s="17"/>
      <c r="D123" s="18" t="str">
        <f>IFERROR(VLOOKUP(C123,MATERIALES!$A:$B,2,0),"")</f>
        <v/>
      </c>
      <c r="E123" s="18" t="str">
        <f>IFERROR(VLOOKUP(C123,MATERIALES!$A:$F,6,0),"")</f>
        <v/>
      </c>
      <c r="F123" s="19">
        <f>IFERROR(VLOOKUP(C123,MATERIALES!$A:$I,9,0),0)</f>
        <v>0</v>
      </c>
      <c r="G123" s="17"/>
      <c r="H123" s="20">
        <f t="shared" si="1"/>
        <v>0</v>
      </c>
      <c r="I123" s="33"/>
    </row>
    <row r="124" spans="1:9">
      <c r="A124" s="17"/>
      <c r="B124" s="17"/>
      <c r="C124" s="17"/>
      <c r="D124" s="18" t="str">
        <f>IFERROR(VLOOKUP(C124,MATERIALES!$A:$B,2,0),"")</f>
        <v/>
      </c>
      <c r="E124" s="18" t="str">
        <f>IFERROR(VLOOKUP(C124,MATERIALES!$A:$F,6,0),"")</f>
        <v/>
      </c>
      <c r="F124" s="19">
        <f>IFERROR(VLOOKUP(C124,MATERIALES!$A:$I,9,0),0)</f>
        <v>0</v>
      </c>
      <c r="G124" s="17"/>
      <c r="H124" s="20">
        <f t="shared" si="1"/>
        <v>0</v>
      </c>
      <c r="I124" s="33"/>
    </row>
    <row r="125" spans="1:9">
      <c r="A125" s="17"/>
      <c r="B125" s="17"/>
      <c r="C125" s="17"/>
      <c r="D125" s="18" t="str">
        <f>IFERROR(VLOOKUP(C125,MATERIALES!$A:$B,2,0),"")</f>
        <v/>
      </c>
      <c r="E125" s="18" t="str">
        <f>IFERROR(VLOOKUP(C125,MATERIALES!$A:$F,6,0),"")</f>
        <v/>
      </c>
      <c r="F125" s="19">
        <f>IFERROR(VLOOKUP(C125,MATERIALES!$A:$I,9,0),0)</f>
        <v>0</v>
      </c>
      <c r="G125" s="17"/>
      <c r="H125" s="20">
        <f t="shared" si="1"/>
        <v>0</v>
      </c>
      <c r="I125" s="33"/>
    </row>
    <row r="126" spans="1:9">
      <c r="A126" s="17"/>
      <c r="B126" s="17"/>
      <c r="C126" s="17"/>
      <c r="D126" s="18" t="str">
        <f>IFERROR(VLOOKUP(C126,MATERIALES!$A:$B,2,0),"")</f>
        <v/>
      </c>
      <c r="E126" s="18" t="str">
        <f>IFERROR(VLOOKUP(C126,MATERIALES!$A:$F,6,0),"")</f>
        <v/>
      </c>
      <c r="F126" s="19">
        <f>IFERROR(VLOOKUP(C126,MATERIALES!$A:$I,9,0),0)</f>
        <v>0</v>
      </c>
      <c r="G126" s="17"/>
      <c r="H126" s="20">
        <f t="shared" si="1"/>
        <v>0</v>
      </c>
      <c r="I126" s="33"/>
    </row>
    <row r="127" spans="1:9">
      <c r="A127" s="17"/>
      <c r="B127" s="17"/>
      <c r="C127" s="17"/>
      <c r="D127" s="18" t="str">
        <f>IFERROR(VLOOKUP(C127,MATERIALES!$A:$B,2,0),"")</f>
        <v/>
      </c>
      <c r="E127" s="18" t="str">
        <f>IFERROR(VLOOKUP(C127,MATERIALES!$A:$F,6,0),"")</f>
        <v/>
      </c>
      <c r="F127" s="19">
        <f>IFERROR(VLOOKUP(C127,MATERIALES!$A:$I,9,0),0)</f>
        <v>0</v>
      </c>
      <c r="G127" s="17"/>
      <c r="H127" s="20">
        <f t="shared" si="1"/>
        <v>0</v>
      </c>
      <c r="I127" s="33"/>
    </row>
    <row r="128" spans="1:9">
      <c r="A128" s="17"/>
      <c r="B128" s="17"/>
      <c r="C128" s="17"/>
      <c r="D128" s="18" t="str">
        <f>IFERROR(VLOOKUP(C128,MATERIALES!$A:$B,2,0),"")</f>
        <v/>
      </c>
      <c r="E128" s="18" t="str">
        <f>IFERROR(VLOOKUP(C128,MATERIALES!$A:$F,6,0),"")</f>
        <v/>
      </c>
      <c r="F128" s="19">
        <f>IFERROR(VLOOKUP(C128,MATERIALES!$A:$I,9,0),0)</f>
        <v>0</v>
      </c>
      <c r="G128" s="17"/>
      <c r="H128" s="20">
        <f t="shared" si="1"/>
        <v>0</v>
      </c>
      <c r="I128" s="33"/>
    </row>
    <row r="129" spans="1:9">
      <c r="A129" s="17"/>
      <c r="B129" s="17"/>
      <c r="C129" s="17"/>
      <c r="D129" s="18" t="str">
        <f>IFERROR(VLOOKUP(C129,MATERIALES!$A:$B,2,0),"")</f>
        <v/>
      </c>
      <c r="E129" s="18" t="str">
        <f>IFERROR(VLOOKUP(C129,MATERIALES!$A:$F,6,0),"")</f>
        <v/>
      </c>
      <c r="F129" s="19">
        <f>IFERROR(VLOOKUP(C129,MATERIALES!$A:$I,9,0),0)</f>
        <v>0</v>
      </c>
      <c r="G129" s="17"/>
      <c r="H129" s="20">
        <f t="shared" si="1"/>
        <v>0</v>
      </c>
      <c r="I129" s="33"/>
    </row>
    <row r="130" spans="1:9">
      <c r="A130" s="17"/>
      <c r="B130" s="17"/>
      <c r="C130" s="17"/>
      <c r="D130" s="18" t="str">
        <f>IFERROR(VLOOKUP(C130,MATERIALES!$A:$B,2,0),"")</f>
        <v/>
      </c>
      <c r="E130" s="18" t="str">
        <f>IFERROR(VLOOKUP(C130,MATERIALES!$A:$F,6,0),"")</f>
        <v/>
      </c>
      <c r="F130" s="19">
        <f>IFERROR(VLOOKUP(C130,MATERIALES!$A:$I,9,0),0)</f>
        <v>0</v>
      </c>
      <c r="G130" s="17"/>
      <c r="H130" s="20">
        <f t="shared" si="1"/>
        <v>0</v>
      </c>
      <c r="I130" s="33"/>
    </row>
    <row r="131" spans="1:9">
      <c r="A131" s="17"/>
      <c r="B131" s="17"/>
      <c r="C131" s="17"/>
      <c r="D131" s="18" t="str">
        <f>IFERROR(VLOOKUP(C131,MATERIALES!$A:$B,2,0),"")</f>
        <v/>
      </c>
      <c r="E131" s="18" t="str">
        <f>IFERROR(VLOOKUP(C131,MATERIALES!$A:$F,6,0),"")</f>
        <v/>
      </c>
      <c r="F131" s="19">
        <f>IFERROR(VLOOKUP(C131,MATERIALES!$A:$I,9,0),0)</f>
        <v>0</v>
      </c>
      <c r="G131" s="17"/>
      <c r="H131" s="20">
        <f t="shared" si="1"/>
        <v>0</v>
      </c>
      <c r="I131" s="33"/>
    </row>
    <row r="132" spans="1:9">
      <c r="A132" s="17"/>
      <c r="B132" s="17"/>
      <c r="C132" s="17"/>
      <c r="D132" s="18" t="str">
        <f>IFERROR(VLOOKUP(C132,MATERIALES!$A:$B,2,0),"")</f>
        <v/>
      </c>
      <c r="E132" s="18" t="str">
        <f>IFERROR(VLOOKUP(C132,MATERIALES!$A:$F,6,0),"")</f>
        <v/>
      </c>
      <c r="F132" s="19">
        <f>IFERROR(VLOOKUP(C132,MATERIALES!$A:$I,9,0),0)</f>
        <v>0</v>
      </c>
      <c r="G132" s="17"/>
      <c r="H132" s="20">
        <f t="shared" si="1"/>
        <v>0</v>
      </c>
      <c r="I132" s="33"/>
    </row>
    <row r="133" spans="1:9">
      <c r="A133" s="17"/>
      <c r="B133" s="17"/>
      <c r="C133" s="17"/>
      <c r="D133" s="18" t="str">
        <f>IFERROR(VLOOKUP(C133,MATERIALES!$A:$B,2,0),"")</f>
        <v/>
      </c>
      <c r="E133" s="18" t="str">
        <f>IFERROR(VLOOKUP(C133,MATERIALES!$A:$F,6,0),"")</f>
        <v/>
      </c>
      <c r="F133" s="19">
        <f>IFERROR(VLOOKUP(C133,MATERIALES!$A:$I,9,0),0)</f>
        <v>0</v>
      </c>
      <c r="G133" s="17"/>
      <c r="H133" s="20">
        <f t="shared" ref="H133:H196" si="2">IFERROR(G133*F133,0)</f>
        <v>0</v>
      </c>
      <c r="I133" s="33"/>
    </row>
    <row r="134" spans="1:9">
      <c r="A134" s="17"/>
      <c r="B134" s="17"/>
      <c r="C134" s="17"/>
      <c r="D134" s="18" t="str">
        <f>IFERROR(VLOOKUP(C134,MATERIALES!$A:$B,2,0),"")</f>
        <v/>
      </c>
      <c r="E134" s="18" t="str">
        <f>IFERROR(VLOOKUP(C134,MATERIALES!$A:$F,6,0),"")</f>
        <v/>
      </c>
      <c r="F134" s="19">
        <f>IFERROR(VLOOKUP(C134,MATERIALES!$A:$I,9,0),0)</f>
        <v>0</v>
      </c>
      <c r="G134" s="17"/>
      <c r="H134" s="20">
        <f t="shared" si="2"/>
        <v>0</v>
      </c>
      <c r="I134" s="33"/>
    </row>
    <row r="135" spans="1:9">
      <c r="A135" s="17"/>
      <c r="B135" s="17"/>
      <c r="C135" s="17"/>
      <c r="D135" s="18" t="str">
        <f>IFERROR(VLOOKUP(C135,MATERIALES!$A:$B,2,0),"")</f>
        <v/>
      </c>
      <c r="E135" s="18" t="str">
        <f>IFERROR(VLOOKUP(C135,MATERIALES!$A:$F,6,0),"")</f>
        <v/>
      </c>
      <c r="F135" s="19">
        <f>IFERROR(VLOOKUP(C135,MATERIALES!$A:$I,9,0),0)</f>
        <v>0</v>
      </c>
      <c r="G135" s="17"/>
      <c r="H135" s="20">
        <f t="shared" si="2"/>
        <v>0</v>
      </c>
      <c r="I135" s="33"/>
    </row>
    <row r="136" spans="1:9">
      <c r="A136" s="17"/>
      <c r="B136" s="17"/>
      <c r="C136" s="17"/>
      <c r="D136" s="18" t="str">
        <f>IFERROR(VLOOKUP(C136,MATERIALES!$A:$B,2,0),"")</f>
        <v/>
      </c>
      <c r="E136" s="18" t="str">
        <f>IFERROR(VLOOKUP(C136,MATERIALES!$A:$F,6,0),"")</f>
        <v/>
      </c>
      <c r="F136" s="19">
        <f>IFERROR(VLOOKUP(C136,MATERIALES!$A:$I,9,0),0)</f>
        <v>0</v>
      </c>
      <c r="G136" s="17"/>
      <c r="H136" s="20">
        <f t="shared" si="2"/>
        <v>0</v>
      </c>
      <c r="I136" s="33"/>
    </row>
    <row r="137" spans="1:9">
      <c r="A137" s="17"/>
      <c r="B137" s="17"/>
      <c r="C137" s="17"/>
      <c r="D137" s="18" t="str">
        <f>IFERROR(VLOOKUP(C137,MATERIALES!$A:$B,2,0),"")</f>
        <v/>
      </c>
      <c r="E137" s="18" t="str">
        <f>IFERROR(VLOOKUP(C137,MATERIALES!$A:$F,6,0),"")</f>
        <v/>
      </c>
      <c r="F137" s="19">
        <f>IFERROR(VLOOKUP(C137,MATERIALES!$A:$I,9,0),0)</f>
        <v>0</v>
      </c>
      <c r="G137" s="17"/>
      <c r="H137" s="20">
        <f t="shared" si="2"/>
        <v>0</v>
      </c>
      <c r="I137" s="33"/>
    </row>
    <row r="138" spans="1:9">
      <c r="A138" s="17"/>
      <c r="B138" s="17"/>
      <c r="C138" s="17"/>
      <c r="D138" s="18" t="str">
        <f>IFERROR(VLOOKUP(C138,MATERIALES!$A:$B,2,0),"")</f>
        <v/>
      </c>
      <c r="E138" s="18" t="str">
        <f>IFERROR(VLOOKUP(C138,MATERIALES!$A:$F,6,0),"")</f>
        <v/>
      </c>
      <c r="F138" s="19">
        <f>IFERROR(VLOOKUP(C138,MATERIALES!$A:$I,9,0),0)</f>
        <v>0</v>
      </c>
      <c r="G138" s="17"/>
      <c r="H138" s="20">
        <f t="shared" si="2"/>
        <v>0</v>
      </c>
      <c r="I138" s="33"/>
    </row>
    <row r="139" spans="1:9">
      <c r="A139" s="17"/>
      <c r="B139" s="17"/>
      <c r="C139" s="17"/>
      <c r="D139" s="18" t="str">
        <f>IFERROR(VLOOKUP(C139,MATERIALES!$A:$B,2,0),"")</f>
        <v/>
      </c>
      <c r="E139" s="18" t="str">
        <f>IFERROR(VLOOKUP(C139,MATERIALES!$A:$F,6,0),"")</f>
        <v/>
      </c>
      <c r="F139" s="19">
        <f>IFERROR(VLOOKUP(C139,MATERIALES!$A:$I,9,0),0)</f>
        <v>0</v>
      </c>
      <c r="G139" s="17"/>
      <c r="H139" s="20">
        <f t="shared" si="2"/>
        <v>0</v>
      </c>
      <c r="I139" s="33"/>
    </row>
    <row r="140" spans="1:9">
      <c r="A140" s="17"/>
      <c r="B140" s="17"/>
      <c r="C140" s="17"/>
      <c r="D140" s="18" t="str">
        <f>IFERROR(VLOOKUP(C140,MATERIALES!$A:$B,2,0),"")</f>
        <v/>
      </c>
      <c r="E140" s="18" t="str">
        <f>IFERROR(VLOOKUP(C140,MATERIALES!$A:$F,6,0),"")</f>
        <v/>
      </c>
      <c r="F140" s="19">
        <f>IFERROR(VLOOKUP(C140,MATERIALES!$A:$I,9,0),0)</f>
        <v>0</v>
      </c>
      <c r="G140" s="17"/>
      <c r="H140" s="20">
        <f t="shared" si="2"/>
        <v>0</v>
      </c>
      <c r="I140" s="33"/>
    </row>
    <row r="141" spans="1:9">
      <c r="A141" s="17"/>
      <c r="B141" s="17"/>
      <c r="C141" s="17"/>
      <c r="D141" s="18" t="str">
        <f>IFERROR(VLOOKUP(C141,MATERIALES!$A:$B,2,0),"")</f>
        <v/>
      </c>
      <c r="E141" s="18" t="str">
        <f>IFERROR(VLOOKUP(C141,MATERIALES!$A:$F,6,0),"")</f>
        <v/>
      </c>
      <c r="F141" s="19">
        <f>IFERROR(VLOOKUP(C141,MATERIALES!$A:$I,9,0),0)</f>
        <v>0</v>
      </c>
      <c r="G141" s="17"/>
      <c r="H141" s="20">
        <f t="shared" si="2"/>
        <v>0</v>
      </c>
      <c r="I141" s="33"/>
    </row>
    <row r="142" spans="1:9">
      <c r="A142" s="17"/>
      <c r="B142" s="17"/>
      <c r="C142" s="17"/>
      <c r="D142" s="18" t="str">
        <f>IFERROR(VLOOKUP(C142,MATERIALES!$A:$B,2,0),"")</f>
        <v/>
      </c>
      <c r="E142" s="18" t="str">
        <f>IFERROR(VLOOKUP(C142,MATERIALES!$A:$F,6,0),"")</f>
        <v/>
      </c>
      <c r="F142" s="19">
        <f>IFERROR(VLOOKUP(C142,MATERIALES!$A:$I,9,0),0)</f>
        <v>0</v>
      </c>
      <c r="G142" s="17"/>
      <c r="H142" s="20">
        <f t="shared" si="2"/>
        <v>0</v>
      </c>
      <c r="I142" s="33"/>
    </row>
    <row r="143" spans="1:9">
      <c r="A143" s="17"/>
      <c r="B143" s="17"/>
      <c r="C143" s="17"/>
      <c r="D143" s="18" t="str">
        <f>IFERROR(VLOOKUP(C143,MATERIALES!$A:$B,2,0),"")</f>
        <v/>
      </c>
      <c r="E143" s="18" t="str">
        <f>IFERROR(VLOOKUP(C143,MATERIALES!$A:$F,6,0),"")</f>
        <v/>
      </c>
      <c r="F143" s="19">
        <f>IFERROR(VLOOKUP(C143,MATERIALES!$A:$I,9,0),0)</f>
        <v>0</v>
      </c>
      <c r="G143" s="17"/>
      <c r="H143" s="20">
        <f t="shared" si="2"/>
        <v>0</v>
      </c>
      <c r="I143" s="33"/>
    </row>
    <row r="144" spans="1:9">
      <c r="A144" s="17"/>
      <c r="B144" s="17"/>
      <c r="C144" s="17"/>
      <c r="D144" s="18" t="str">
        <f>IFERROR(VLOOKUP(C144,MATERIALES!$A:$B,2,0),"")</f>
        <v/>
      </c>
      <c r="E144" s="18" t="str">
        <f>IFERROR(VLOOKUP(C144,MATERIALES!$A:$F,6,0),"")</f>
        <v/>
      </c>
      <c r="F144" s="19">
        <f>IFERROR(VLOOKUP(C144,MATERIALES!$A:$I,9,0),0)</f>
        <v>0</v>
      </c>
      <c r="G144" s="17"/>
      <c r="H144" s="20">
        <f t="shared" si="2"/>
        <v>0</v>
      </c>
      <c r="I144" s="33"/>
    </row>
    <row r="145" spans="1:9">
      <c r="A145" s="17"/>
      <c r="B145" s="17"/>
      <c r="C145" s="17"/>
      <c r="D145" s="18" t="str">
        <f>IFERROR(VLOOKUP(C145,MATERIALES!$A:$B,2,0),"")</f>
        <v/>
      </c>
      <c r="E145" s="18" t="str">
        <f>IFERROR(VLOOKUP(C145,MATERIALES!$A:$F,6,0),"")</f>
        <v/>
      </c>
      <c r="F145" s="19">
        <f>IFERROR(VLOOKUP(C145,MATERIALES!$A:$I,9,0),0)</f>
        <v>0</v>
      </c>
      <c r="G145" s="17"/>
      <c r="H145" s="20">
        <f t="shared" si="2"/>
        <v>0</v>
      </c>
      <c r="I145" s="33"/>
    </row>
    <row r="146" spans="1:9">
      <c r="A146" s="17"/>
      <c r="B146" s="17"/>
      <c r="C146" s="17"/>
      <c r="D146" s="18" t="str">
        <f>IFERROR(VLOOKUP(C146,MATERIALES!$A:$B,2,0),"")</f>
        <v/>
      </c>
      <c r="E146" s="18" t="str">
        <f>IFERROR(VLOOKUP(C146,MATERIALES!$A:$F,6,0),"")</f>
        <v/>
      </c>
      <c r="F146" s="19">
        <f>IFERROR(VLOOKUP(C146,MATERIALES!$A:$I,9,0),0)</f>
        <v>0</v>
      </c>
      <c r="G146" s="17"/>
      <c r="H146" s="20">
        <f t="shared" si="2"/>
        <v>0</v>
      </c>
      <c r="I146" s="33"/>
    </row>
    <row r="147" spans="1:9">
      <c r="A147" s="17"/>
      <c r="B147" s="17"/>
      <c r="C147" s="17"/>
      <c r="D147" s="18" t="str">
        <f>IFERROR(VLOOKUP(C147,MATERIALES!$A:$B,2,0),"")</f>
        <v/>
      </c>
      <c r="E147" s="18" t="str">
        <f>IFERROR(VLOOKUP(C147,MATERIALES!$A:$F,6,0),"")</f>
        <v/>
      </c>
      <c r="F147" s="19">
        <f>IFERROR(VLOOKUP(C147,MATERIALES!$A:$I,9,0),0)</f>
        <v>0</v>
      </c>
      <c r="G147" s="17"/>
      <c r="H147" s="20">
        <f t="shared" si="2"/>
        <v>0</v>
      </c>
      <c r="I147" s="33"/>
    </row>
    <row r="148" spans="1:9">
      <c r="A148" s="17"/>
      <c r="B148" s="17"/>
      <c r="C148" s="17"/>
      <c r="D148" s="18" t="str">
        <f>IFERROR(VLOOKUP(C148,MATERIALES!$A:$B,2,0),"")</f>
        <v/>
      </c>
      <c r="E148" s="18" t="str">
        <f>IFERROR(VLOOKUP(C148,MATERIALES!$A:$F,6,0),"")</f>
        <v/>
      </c>
      <c r="F148" s="19">
        <f>IFERROR(VLOOKUP(C148,MATERIALES!$A:$I,9,0),0)</f>
        <v>0</v>
      </c>
      <c r="G148" s="17"/>
      <c r="H148" s="20">
        <f t="shared" si="2"/>
        <v>0</v>
      </c>
      <c r="I148" s="33"/>
    </row>
    <row r="149" spans="1:9">
      <c r="A149" s="17"/>
      <c r="B149" s="17"/>
      <c r="C149" s="17"/>
      <c r="D149" s="18" t="str">
        <f>IFERROR(VLOOKUP(C149,MATERIALES!$A:$B,2,0),"")</f>
        <v/>
      </c>
      <c r="E149" s="18" t="str">
        <f>IFERROR(VLOOKUP(C149,MATERIALES!$A:$F,6,0),"")</f>
        <v/>
      </c>
      <c r="F149" s="19">
        <f>IFERROR(VLOOKUP(C149,MATERIALES!$A:$I,9,0),0)</f>
        <v>0</v>
      </c>
      <c r="G149" s="17"/>
      <c r="H149" s="20">
        <f t="shared" si="2"/>
        <v>0</v>
      </c>
      <c r="I149" s="33"/>
    </row>
    <row r="150" spans="1:9">
      <c r="A150" s="17"/>
      <c r="B150" s="17"/>
      <c r="C150" s="17"/>
      <c r="D150" s="18" t="str">
        <f>IFERROR(VLOOKUP(C150,MATERIALES!$A:$B,2,0),"")</f>
        <v/>
      </c>
      <c r="E150" s="18" t="str">
        <f>IFERROR(VLOOKUP(C150,MATERIALES!$A:$F,6,0),"")</f>
        <v/>
      </c>
      <c r="F150" s="19">
        <f>IFERROR(VLOOKUP(C150,MATERIALES!$A:$I,9,0),0)</f>
        <v>0</v>
      </c>
      <c r="G150" s="17"/>
      <c r="H150" s="20">
        <f t="shared" si="2"/>
        <v>0</v>
      </c>
      <c r="I150" s="33"/>
    </row>
    <row r="151" spans="1:9">
      <c r="A151" s="17"/>
      <c r="B151" s="17"/>
      <c r="C151" s="17"/>
      <c r="D151" s="18" t="str">
        <f>IFERROR(VLOOKUP(C151,MATERIALES!$A:$B,2,0),"")</f>
        <v/>
      </c>
      <c r="E151" s="18" t="str">
        <f>IFERROR(VLOOKUP(C151,MATERIALES!$A:$F,6,0),"")</f>
        <v/>
      </c>
      <c r="F151" s="19">
        <f>IFERROR(VLOOKUP(C151,MATERIALES!$A:$I,9,0),0)</f>
        <v>0</v>
      </c>
      <c r="G151" s="17"/>
      <c r="H151" s="20">
        <f t="shared" si="2"/>
        <v>0</v>
      </c>
      <c r="I151" s="33"/>
    </row>
    <row r="152" spans="1:9">
      <c r="A152" s="17"/>
      <c r="B152" s="17"/>
      <c r="C152" s="17"/>
      <c r="D152" s="18" t="str">
        <f>IFERROR(VLOOKUP(C152,MATERIALES!$A:$B,2,0),"")</f>
        <v/>
      </c>
      <c r="E152" s="18" t="str">
        <f>IFERROR(VLOOKUP(C152,MATERIALES!$A:$F,6,0),"")</f>
        <v/>
      </c>
      <c r="F152" s="19">
        <f>IFERROR(VLOOKUP(C152,MATERIALES!$A:$I,9,0),0)</f>
        <v>0</v>
      </c>
      <c r="G152" s="17"/>
      <c r="H152" s="20">
        <f t="shared" si="2"/>
        <v>0</v>
      </c>
      <c r="I152" s="33"/>
    </row>
    <row r="153" spans="1:9">
      <c r="A153" s="17"/>
      <c r="B153" s="17"/>
      <c r="C153" s="17"/>
      <c r="D153" s="18" t="str">
        <f>IFERROR(VLOOKUP(C153,MATERIALES!$A:$B,2,0),"")</f>
        <v/>
      </c>
      <c r="E153" s="18" t="str">
        <f>IFERROR(VLOOKUP(C153,MATERIALES!$A:$F,6,0),"")</f>
        <v/>
      </c>
      <c r="F153" s="19">
        <f>IFERROR(VLOOKUP(C153,MATERIALES!$A:$I,9,0),0)</f>
        <v>0</v>
      </c>
      <c r="G153" s="17"/>
      <c r="H153" s="20">
        <f t="shared" si="2"/>
        <v>0</v>
      </c>
      <c r="I153" s="33"/>
    </row>
    <row r="154" spans="1:9">
      <c r="A154" s="17"/>
      <c r="B154" s="17"/>
      <c r="C154" s="17"/>
      <c r="D154" s="18" t="str">
        <f>IFERROR(VLOOKUP(C154,MATERIALES!$A:$B,2,0),"")</f>
        <v/>
      </c>
      <c r="E154" s="18" t="str">
        <f>IFERROR(VLOOKUP(C154,MATERIALES!$A:$F,6,0),"")</f>
        <v/>
      </c>
      <c r="F154" s="19">
        <f>IFERROR(VLOOKUP(C154,MATERIALES!$A:$I,9,0),0)</f>
        <v>0</v>
      </c>
      <c r="G154" s="17"/>
      <c r="H154" s="20">
        <f t="shared" si="2"/>
        <v>0</v>
      </c>
      <c r="I154" s="33"/>
    </row>
    <row r="155" spans="1:9">
      <c r="A155" s="17"/>
      <c r="B155" s="17"/>
      <c r="C155" s="17"/>
      <c r="D155" s="18" t="str">
        <f>IFERROR(VLOOKUP(C155,MATERIALES!$A:$B,2,0),"")</f>
        <v/>
      </c>
      <c r="E155" s="18" t="str">
        <f>IFERROR(VLOOKUP(C155,MATERIALES!$A:$F,6,0),"")</f>
        <v/>
      </c>
      <c r="F155" s="19">
        <f>IFERROR(VLOOKUP(C155,MATERIALES!$A:$I,9,0),0)</f>
        <v>0</v>
      </c>
      <c r="G155" s="17"/>
      <c r="H155" s="20">
        <f t="shared" si="2"/>
        <v>0</v>
      </c>
      <c r="I155" s="33"/>
    </row>
    <row r="156" spans="1:9">
      <c r="A156" s="17"/>
      <c r="B156" s="17"/>
      <c r="C156" s="17"/>
      <c r="D156" s="18" t="str">
        <f>IFERROR(VLOOKUP(C156,MATERIALES!$A:$B,2,0),"")</f>
        <v/>
      </c>
      <c r="E156" s="18" t="str">
        <f>IFERROR(VLOOKUP(C156,MATERIALES!$A:$F,6,0),"")</f>
        <v/>
      </c>
      <c r="F156" s="19">
        <f>IFERROR(VLOOKUP(C156,MATERIALES!$A:$I,9,0),0)</f>
        <v>0</v>
      </c>
      <c r="G156" s="17"/>
      <c r="H156" s="20">
        <f t="shared" si="2"/>
        <v>0</v>
      </c>
      <c r="I156" s="33"/>
    </row>
    <row r="157" spans="1:9">
      <c r="A157" s="17"/>
      <c r="B157" s="17"/>
      <c r="C157" s="17"/>
      <c r="D157" s="18" t="str">
        <f>IFERROR(VLOOKUP(C157,MATERIALES!$A:$B,2,0),"")</f>
        <v/>
      </c>
      <c r="E157" s="18" t="str">
        <f>IFERROR(VLOOKUP(C157,MATERIALES!$A:$F,6,0),"")</f>
        <v/>
      </c>
      <c r="F157" s="19">
        <f>IFERROR(VLOOKUP(C157,MATERIALES!$A:$I,9,0),0)</f>
        <v>0</v>
      </c>
      <c r="G157" s="17"/>
      <c r="H157" s="20">
        <f t="shared" si="2"/>
        <v>0</v>
      </c>
      <c r="I157" s="33"/>
    </row>
    <row r="158" spans="1:9">
      <c r="A158" s="17"/>
      <c r="B158" s="17"/>
      <c r="C158" s="17"/>
      <c r="D158" s="18" t="str">
        <f>IFERROR(VLOOKUP(C158,MATERIALES!$A:$B,2,0),"")</f>
        <v/>
      </c>
      <c r="E158" s="18" t="str">
        <f>IFERROR(VLOOKUP(C158,MATERIALES!$A:$F,6,0),"")</f>
        <v/>
      </c>
      <c r="F158" s="19">
        <f>IFERROR(VLOOKUP(C158,MATERIALES!$A:$I,9,0),0)</f>
        <v>0</v>
      </c>
      <c r="G158" s="17"/>
      <c r="H158" s="20">
        <f t="shared" si="2"/>
        <v>0</v>
      </c>
      <c r="I158" s="33"/>
    </row>
    <row r="159" spans="1:9">
      <c r="A159" s="17"/>
      <c r="B159" s="17"/>
      <c r="C159" s="17"/>
      <c r="D159" s="18" t="str">
        <f>IFERROR(VLOOKUP(C159,MATERIALES!$A:$B,2,0),"")</f>
        <v/>
      </c>
      <c r="E159" s="18" t="str">
        <f>IFERROR(VLOOKUP(C159,MATERIALES!$A:$F,6,0),"")</f>
        <v/>
      </c>
      <c r="F159" s="19">
        <f>IFERROR(VLOOKUP(C159,MATERIALES!$A:$I,9,0),0)</f>
        <v>0</v>
      </c>
      <c r="G159" s="17"/>
      <c r="H159" s="20">
        <f t="shared" si="2"/>
        <v>0</v>
      </c>
      <c r="I159" s="33"/>
    </row>
    <row r="160" spans="1:9">
      <c r="A160" s="17"/>
      <c r="B160" s="17"/>
      <c r="C160" s="17"/>
      <c r="D160" s="18" t="str">
        <f>IFERROR(VLOOKUP(C160,MATERIALES!$A:$B,2,0),"")</f>
        <v/>
      </c>
      <c r="E160" s="18" t="str">
        <f>IFERROR(VLOOKUP(C160,MATERIALES!$A:$F,6,0),"")</f>
        <v/>
      </c>
      <c r="F160" s="19">
        <f>IFERROR(VLOOKUP(C160,MATERIALES!$A:$I,9,0),0)</f>
        <v>0</v>
      </c>
      <c r="G160" s="17"/>
      <c r="H160" s="20">
        <f t="shared" si="2"/>
        <v>0</v>
      </c>
      <c r="I160" s="33"/>
    </row>
    <row r="161" spans="1:9">
      <c r="A161" s="17"/>
      <c r="B161" s="17"/>
      <c r="C161" s="17"/>
      <c r="D161" s="18" t="str">
        <f>IFERROR(VLOOKUP(C161,MATERIALES!$A:$B,2,0),"")</f>
        <v/>
      </c>
      <c r="E161" s="18" t="str">
        <f>IFERROR(VLOOKUP(C161,MATERIALES!$A:$F,6,0),"")</f>
        <v/>
      </c>
      <c r="F161" s="19">
        <f>IFERROR(VLOOKUP(C161,MATERIALES!$A:$I,9,0),0)</f>
        <v>0</v>
      </c>
      <c r="G161" s="17"/>
      <c r="H161" s="20">
        <f t="shared" si="2"/>
        <v>0</v>
      </c>
      <c r="I161" s="33"/>
    </row>
    <row r="162" spans="1:9">
      <c r="A162" s="17"/>
      <c r="B162" s="17"/>
      <c r="C162" s="17"/>
      <c r="D162" s="18" t="str">
        <f>IFERROR(VLOOKUP(C162,MATERIALES!$A:$B,2,0),"")</f>
        <v/>
      </c>
      <c r="E162" s="18" t="str">
        <f>IFERROR(VLOOKUP(C162,MATERIALES!$A:$F,6,0),"")</f>
        <v/>
      </c>
      <c r="F162" s="19">
        <f>IFERROR(VLOOKUP(C162,MATERIALES!$A:$I,9,0),0)</f>
        <v>0</v>
      </c>
      <c r="G162" s="17"/>
      <c r="H162" s="20">
        <f t="shared" si="2"/>
        <v>0</v>
      </c>
      <c r="I162" s="33"/>
    </row>
    <row r="163" spans="1:9">
      <c r="A163" s="17"/>
      <c r="B163" s="17"/>
      <c r="C163" s="17"/>
      <c r="D163" s="18" t="str">
        <f>IFERROR(VLOOKUP(C163,MATERIALES!$A:$B,2,0),"")</f>
        <v/>
      </c>
      <c r="E163" s="18" t="str">
        <f>IFERROR(VLOOKUP(C163,MATERIALES!$A:$F,6,0),"")</f>
        <v/>
      </c>
      <c r="F163" s="19">
        <f>IFERROR(VLOOKUP(C163,MATERIALES!$A:$I,9,0),0)</f>
        <v>0</v>
      </c>
      <c r="G163" s="17"/>
      <c r="H163" s="20">
        <f t="shared" si="2"/>
        <v>0</v>
      </c>
      <c r="I163" s="33"/>
    </row>
    <row r="164" spans="1:9">
      <c r="A164" s="17"/>
      <c r="B164" s="17"/>
      <c r="C164" s="17"/>
      <c r="D164" s="18" t="str">
        <f>IFERROR(VLOOKUP(C164,MATERIALES!$A:$B,2,0),"")</f>
        <v/>
      </c>
      <c r="E164" s="18" t="str">
        <f>IFERROR(VLOOKUP(C164,MATERIALES!$A:$F,6,0),"")</f>
        <v/>
      </c>
      <c r="F164" s="19">
        <f>IFERROR(VLOOKUP(C164,MATERIALES!$A:$I,9,0),0)</f>
        <v>0</v>
      </c>
      <c r="G164" s="17"/>
      <c r="H164" s="20">
        <f t="shared" si="2"/>
        <v>0</v>
      </c>
      <c r="I164" s="33"/>
    </row>
    <row r="165" spans="1:9">
      <c r="A165" s="17"/>
      <c r="B165" s="17"/>
      <c r="C165" s="17"/>
      <c r="D165" s="18" t="str">
        <f>IFERROR(VLOOKUP(C165,MATERIALES!$A:$B,2,0),"")</f>
        <v/>
      </c>
      <c r="E165" s="18" t="str">
        <f>IFERROR(VLOOKUP(C165,MATERIALES!$A:$F,6,0),"")</f>
        <v/>
      </c>
      <c r="F165" s="19">
        <f>IFERROR(VLOOKUP(C165,MATERIALES!$A:$I,9,0),0)</f>
        <v>0</v>
      </c>
      <c r="G165" s="17"/>
      <c r="H165" s="20">
        <f t="shared" si="2"/>
        <v>0</v>
      </c>
      <c r="I165" s="33"/>
    </row>
    <row r="166" spans="1:9">
      <c r="A166" s="17"/>
      <c r="B166" s="17"/>
      <c r="C166" s="17"/>
      <c r="D166" s="18" t="str">
        <f>IFERROR(VLOOKUP(C166,MATERIALES!$A:$B,2,0),"")</f>
        <v/>
      </c>
      <c r="E166" s="18" t="str">
        <f>IFERROR(VLOOKUP(C166,MATERIALES!$A:$F,6,0),"")</f>
        <v/>
      </c>
      <c r="F166" s="19">
        <f>IFERROR(VLOOKUP(C166,MATERIALES!$A:$I,9,0),0)</f>
        <v>0</v>
      </c>
      <c r="G166" s="17"/>
      <c r="H166" s="20">
        <f t="shared" si="2"/>
        <v>0</v>
      </c>
      <c r="I166" s="33"/>
    </row>
    <row r="167" spans="1:9">
      <c r="A167" s="17"/>
      <c r="B167" s="17"/>
      <c r="C167" s="17"/>
      <c r="D167" s="18" t="str">
        <f>IFERROR(VLOOKUP(C167,MATERIALES!$A:$B,2,0),"")</f>
        <v/>
      </c>
      <c r="E167" s="18" t="str">
        <f>IFERROR(VLOOKUP(C167,MATERIALES!$A:$F,6,0),"")</f>
        <v/>
      </c>
      <c r="F167" s="19">
        <f>IFERROR(VLOOKUP(C167,MATERIALES!$A:$I,9,0),0)</f>
        <v>0</v>
      </c>
      <c r="G167" s="17"/>
      <c r="H167" s="20">
        <f t="shared" si="2"/>
        <v>0</v>
      </c>
      <c r="I167" s="33"/>
    </row>
    <row r="168" spans="1:9">
      <c r="A168" s="17"/>
      <c r="B168" s="17"/>
      <c r="C168" s="17"/>
      <c r="D168" s="18" t="str">
        <f>IFERROR(VLOOKUP(C168,MATERIALES!$A:$B,2,0),"")</f>
        <v/>
      </c>
      <c r="E168" s="18" t="str">
        <f>IFERROR(VLOOKUP(C168,MATERIALES!$A:$F,6,0),"")</f>
        <v/>
      </c>
      <c r="F168" s="19">
        <f>IFERROR(VLOOKUP(C168,MATERIALES!$A:$I,9,0),0)</f>
        <v>0</v>
      </c>
      <c r="G168" s="17"/>
      <c r="H168" s="20">
        <f t="shared" si="2"/>
        <v>0</v>
      </c>
      <c r="I168" s="33"/>
    </row>
    <row r="169" spans="1:9">
      <c r="A169" s="17"/>
      <c r="B169" s="17"/>
      <c r="C169" s="17"/>
      <c r="D169" s="18" t="str">
        <f>IFERROR(VLOOKUP(C169,MATERIALES!$A:$B,2,0),"")</f>
        <v/>
      </c>
      <c r="E169" s="18" t="str">
        <f>IFERROR(VLOOKUP(C169,MATERIALES!$A:$F,6,0),"")</f>
        <v/>
      </c>
      <c r="F169" s="19">
        <f>IFERROR(VLOOKUP(C169,MATERIALES!$A:$I,9,0),0)</f>
        <v>0</v>
      </c>
      <c r="G169" s="17"/>
      <c r="H169" s="20">
        <f t="shared" si="2"/>
        <v>0</v>
      </c>
      <c r="I169" s="33"/>
    </row>
    <row r="170" spans="1:9">
      <c r="A170" s="17"/>
      <c r="B170" s="17"/>
      <c r="C170" s="17"/>
      <c r="D170" s="18" t="str">
        <f>IFERROR(VLOOKUP(C170,MATERIALES!$A:$B,2,0),"")</f>
        <v/>
      </c>
      <c r="E170" s="18" t="str">
        <f>IFERROR(VLOOKUP(C170,MATERIALES!$A:$F,6,0),"")</f>
        <v/>
      </c>
      <c r="F170" s="19">
        <f>IFERROR(VLOOKUP(C170,MATERIALES!$A:$I,9,0),0)</f>
        <v>0</v>
      </c>
      <c r="G170" s="17"/>
      <c r="H170" s="20">
        <f t="shared" si="2"/>
        <v>0</v>
      </c>
      <c r="I170" s="33"/>
    </row>
    <row r="171" spans="1:9">
      <c r="A171" s="17"/>
      <c r="B171" s="17"/>
      <c r="C171" s="17"/>
      <c r="D171" s="18" t="str">
        <f>IFERROR(VLOOKUP(C171,MATERIALES!$A:$B,2,0),"")</f>
        <v/>
      </c>
      <c r="E171" s="18" t="str">
        <f>IFERROR(VLOOKUP(C171,MATERIALES!$A:$F,6,0),"")</f>
        <v/>
      </c>
      <c r="F171" s="19">
        <f>IFERROR(VLOOKUP(C171,MATERIALES!$A:$I,9,0),0)</f>
        <v>0</v>
      </c>
      <c r="G171" s="17"/>
      <c r="H171" s="20">
        <f t="shared" si="2"/>
        <v>0</v>
      </c>
      <c r="I171" s="33"/>
    </row>
    <row r="172" spans="1:9">
      <c r="A172" s="17"/>
      <c r="B172" s="17"/>
      <c r="C172" s="17"/>
      <c r="D172" s="18" t="str">
        <f>IFERROR(VLOOKUP(C172,MATERIALES!$A:$B,2,0),"")</f>
        <v/>
      </c>
      <c r="E172" s="18" t="str">
        <f>IFERROR(VLOOKUP(C172,MATERIALES!$A:$F,6,0),"")</f>
        <v/>
      </c>
      <c r="F172" s="19">
        <f>IFERROR(VLOOKUP(C172,MATERIALES!$A:$I,9,0),0)</f>
        <v>0</v>
      </c>
      <c r="G172" s="17"/>
      <c r="H172" s="20">
        <f t="shared" si="2"/>
        <v>0</v>
      </c>
      <c r="I172" s="33"/>
    </row>
    <row r="173" spans="1:9">
      <c r="A173" s="17"/>
      <c r="B173" s="17"/>
      <c r="C173" s="17"/>
      <c r="D173" s="18" t="str">
        <f>IFERROR(VLOOKUP(C173,MATERIALES!$A:$B,2,0),"")</f>
        <v/>
      </c>
      <c r="E173" s="18" t="str">
        <f>IFERROR(VLOOKUP(C173,MATERIALES!$A:$F,6,0),"")</f>
        <v/>
      </c>
      <c r="F173" s="19">
        <f>IFERROR(VLOOKUP(C173,MATERIALES!$A:$I,9,0),0)</f>
        <v>0</v>
      </c>
      <c r="G173" s="17"/>
      <c r="H173" s="20">
        <f t="shared" si="2"/>
        <v>0</v>
      </c>
      <c r="I173" s="33"/>
    </row>
    <row r="174" spans="1:9">
      <c r="A174" s="17"/>
      <c r="B174" s="17"/>
      <c r="C174" s="17"/>
      <c r="D174" s="18" t="str">
        <f>IFERROR(VLOOKUP(C174,MATERIALES!$A:$B,2,0),"")</f>
        <v/>
      </c>
      <c r="E174" s="18" t="str">
        <f>IFERROR(VLOOKUP(C174,MATERIALES!$A:$F,6,0),"")</f>
        <v/>
      </c>
      <c r="F174" s="19">
        <f>IFERROR(VLOOKUP(C174,MATERIALES!$A:$I,9,0),0)</f>
        <v>0</v>
      </c>
      <c r="G174" s="17"/>
      <c r="H174" s="20">
        <f t="shared" si="2"/>
        <v>0</v>
      </c>
      <c r="I174" s="33"/>
    </row>
    <row r="175" spans="1:9">
      <c r="A175" s="17"/>
      <c r="B175" s="17"/>
      <c r="C175" s="17"/>
      <c r="D175" s="18" t="str">
        <f>IFERROR(VLOOKUP(C175,MATERIALES!$A:$B,2,0),"")</f>
        <v/>
      </c>
      <c r="E175" s="18" t="str">
        <f>IFERROR(VLOOKUP(C175,MATERIALES!$A:$F,6,0),"")</f>
        <v/>
      </c>
      <c r="F175" s="19">
        <f>IFERROR(VLOOKUP(C175,MATERIALES!$A:$I,9,0),0)</f>
        <v>0</v>
      </c>
      <c r="G175" s="17"/>
      <c r="H175" s="20">
        <f t="shared" si="2"/>
        <v>0</v>
      </c>
      <c r="I175" s="33"/>
    </row>
    <row r="176" spans="1:9">
      <c r="A176" s="17"/>
      <c r="B176" s="17"/>
      <c r="C176" s="17"/>
      <c r="D176" s="18" t="str">
        <f>IFERROR(VLOOKUP(C176,MATERIALES!$A:$B,2,0),"")</f>
        <v/>
      </c>
      <c r="E176" s="18" t="str">
        <f>IFERROR(VLOOKUP(C176,MATERIALES!$A:$F,6,0),"")</f>
        <v/>
      </c>
      <c r="F176" s="19">
        <f>IFERROR(VLOOKUP(C176,MATERIALES!$A:$I,9,0),0)</f>
        <v>0</v>
      </c>
      <c r="G176" s="17"/>
      <c r="H176" s="20">
        <f t="shared" si="2"/>
        <v>0</v>
      </c>
      <c r="I176" s="33"/>
    </row>
    <row r="177" spans="1:9">
      <c r="A177" s="17"/>
      <c r="B177" s="17"/>
      <c r="C177" s="17"/>
      <c r="D177" s="18" t="str">
        <f>IFERROR(VLOOKUP(C177,MATERIALES!$A:$B,2,0),"")</f>
        <v/>
      </c>
      <c r="E177" s="18" t="str">
        <f>IFERROR(VLOOKUP(C177,MATERIALES!$A:$F,6,0),"")</f>
        <v/>
      </c>
      <c r="F177" s="19">
        <f>IFERROR(VLOOKUP(C177,MATERIALES!$A:$I,9,0),0)</f>
        <v>0</v>
      </c>
      <c r="G177" s="17"/>
      <c r="H177" s="20">
        <f t="shared" si="2"/>
        <v>0</v>
      </c>
      <c r="I177" s="33"/>
    </row>
    <row r="178" spans="1:9">
      <c r="A178" s="17"/>
      <c r="B178" s="17"/>
      <c r="C178" s="17"/>
      <c r="D178" s="18" t="str">
        <f>IFERROR(VLOOKUP(C178,MATERIALES!$A:$B,2,0),"")</f>
        <v/>
      </c>
      <c r="E178" s="18" t="str">
        <f>IFERROR(VLOOKUP(C178,MATERIALES!$A:$F,6,0),"")</f>
        <v/>
      </c>
      <c r="F178" s="19">
        <f>IFERROR(VLOOKUP(C178,MATERIALES!$A:$I,9,0),0)</f>
        <v>0</v>
      </c>
      <c r="G178" s="17"/>
      <c r="H178" s="20">
        <f t="shared" si="2"/>
        <v>0</v>
      </c>
      <c r="I178" s="33"/>
    </row>
    <row r="179" spans="1:9">
      <c r="A179" s="17"/>
      <c r="B179" s="17"/>
      <c r="C179" s="17"/>
      <c r="D179" s="18" t="str">
        <f>IFERROR(VLOOKUP(C179,MATERIALES!$A:$B,2,0),"")</f>
        <v/>
      </c>
      <c r="E179" s="18" t="str">
        <f>IFERROR(VLOOKUP(C179,MATERIALES!$A:$F,6,0),"")</f>
        <v/>
      </c>
      <c r="F179" s="19">
        <f>IFERROR(VLOOKUP(C179,MATERIALES!$A:$I,9,0),0)</f>
        <v>0</v>
      </c>
      <c r="G179" s="17"/>
      <c r="H179" s="20">
        <f t="shared" si="2"/>
        <v>0</v>
      </c>
      <c r="I179" s="33"/>
    </row>
    <row r="180" spans="1:9">
      <c r="A180" s="17"/>
      <c r="B180" s="17"/>
      <c r="C180" s="17"/>
      <c r="D180" s="18" t="str">
        <f>IFERROR(VLOOKUP(C180,MATERIALES!$A:$B,2,0),"")</f>
        <v/>
      </c>
      <c r="E180" s="18" t="str">
        <f>IFERROR(VLOOKUP(C180,MATERIALES!$A:$F,6,0),"")</f>
        <v/>
      </c>
      <c r="F180" s="19">
        <f>IFERROR(VLOOKUP(C180,MATERIALES!$A:$I,9,0),0)</f>
        <v>0</v>
      </c>
      <c r="G180" s="17"/>
      <c r="H180" s="20">
        <f t="shared" si="2"/>
        <v>0</v>
      </c>
      <c r="I180" s="33"/>
    </row>
    <row r="181" spans="1:9">
      <c r="A181" s="17"/>
      <c r="B181" s="17"/>
      <c r="C181" s="17"/>
      <c r="D181" s="18" t="str">
        <f>IFERROR(VLOOKUP(C181,MATERIALES!$A:$B,2,0),"")</f>
        <v/>
      </c>
      <c r="E181" s="18" t="str">
        <f>IFERROR(VLOOKUP(C181,MATERIALES!$A:$F,6,0),"")</f>
        <v/>
      </c>
      <c r="F181" s="19">
        <f>IFERROR(VLOOKUP(C181,MATERIALES!$A:$I,9,0),0)</f>
        <v>0</v>
      </c>
      <c r="G181" s="17"/>
      <c r="H181" s="20">
        <f t="shared" si="2"/>
        <v>0</v>
      </c>
      <c r="I181" s="33"/>
    </row>
    <row r="182" spans="1:9">
      <c r="A182" s="17"/>
      <c r="B182" s="17"/>
      <c r="C182" s="17"/>
      <c r="D182" s="18" t="str">
        <f>IFERROR(VLOOKUP(C182,MATERIALES!$A:$B,2,0),"")</f>
        <v/>
      </c>
      <c r="E182" s="18" t="str">
        <f>IFERROR(VLOOKUP(C182,MATERIALES!$A:$F,6,0),"")</f>
        <v/>
      </c>
      <c r="F182" s="19">
        <f>IFERROR(VLOOKUP(C182,MATERIALES!$A:$I,9,0),0)</f>
        <v>0</v>
      </c>
      <c r="G182" s="17"/>
      <c r="H182" s="20">
        <f t="shared" si="2"/>
        <v>0</v>
      </c>
      <c r="I182" s="33"/>
    </row>
    <row r="183" spans="1:9">
      <c r="A183" s="17"/>
      <c r="B183" s="17"/>
      <c r="C183" s="17"/>
      <c r="D183" s="18" t="str">
        <f>IFERROR(VLOOKUP(C183,MATERIALES!$A:$B,2,0),"")</f>
        <v/>
      </c>
      <c r="E183" s="18" t="str">
        <f>IFERROR(VLOOKUP(C183,MATERIALES!$A:$F,6,0),"")</f>
        <v/>
      </c>
      <c r="F183" s="19">
        <f>IFERROR(VLOOKUP(C183,MATERIALES!$A:$I,9,0),0)</f>
        <v>0</v>
      </c>
      <c r="G183" s="17"/>
      <c r="H183" s="20">
        <f t="shared" si="2"/>
        <v>0</v>
      </c>
      <c r="I183" s="33"/>
    </row>
    <row r="184" spans="1:9">
      <c r="A184" s="17"/>
      <c r="B184" s="17"/>
      <c r="C184" s="17"/>
      <c r="D184" s="18" t="str">
        <f>IFERROR(VLOOKUP(C184,MATERIALES!$A:$B,2,0),"")</f>
        <v/>
      </c>
      <c r="E184" s="18" t="str">
        <f>IFERROR(VLOOKUP(C184,MATERIALES!$A:$F,6,0),"")</f>
        <v/>
      </c>
      <c r="F184" s="19">
        <f>IFERROR(VLOOKUP(C184,MATERIALES!$A:$I,9,0),0)</f>
        <v>0</v>
      </c>
      <c r="G184" s="17"/>
      <c r="H184" s="20">
        <f t="shared" si="2"/>
        <v>0</v>
      </c>
      <c r="I184" s="33"/>
    </row>
    <row r="185" spans="1:9">
      <c r="A185" s="17"/>
      <c r="B185" s="17"/>
      <c r="C185" s="17"/>
      <c r="D185" s="18" t="str">
        <f>IFERROR(VLOOKUP(C185,MATERIALES!$A:$B,2,0),"")</f>
        <v/>
      </c>
      <c r="E185" s="18" t="str">
        <f>IFERROR(VLOOKUP(C185,MATERIALES!$A:$F,6,0),"")</f>
        <v/>
      </c>
      <c r="F185" s="19">
        <f>IFERROR(VLOOKUP(C185,MATERIALES!$A:$I,9,0),0)</f>
        <v>0</v>
      </c>
      <c r="G185" s="17"/>
      <c r="H185" s="20">
        <f t="shared" si="2"/>
        <v>0</v>
      </c>
      <c r="I185" s="33"/>
    </row>
    <row r="186" spans="1:9">
      <c r="A186" s="17"/>
      <c r="B186" s="17"/>
      <c r="C186" s="17"/>
      <c r="D186" s="18" t="str">
        <f>IFERROR(VLOOKUP(C186,MATERIALES!$A:$B,2,0),"")</f>
        <v/>
      </c>
      <c r="E186" s="18" t="str">
        <f>IFERROR(VLOOKUP(C186,MATERIALES!$A:$F,6,0),"")</f>
        <v/>
      </c>
      <c r="F186" s="19">
        <f>IFERROR(VLOOKUP(C186,MATERIALES!$A:$I,9,0),0)</f>
        <v>0</v>
      </c>
      <c r="G186" s="17"/>
      <c r="H186" s="20">
        <f t="shared" si="2"/>
        <v>0</v>
      </c>
      <c r="I186" s="33"/>
    </row>
    <row r="187" spans="1:9">
      <c r="A187" s="17"/>
      <c r="B187" s="17"/>
      <c r="C187" s="17"/>
      <c r="D187" s="18" t="str">
        <f>IFERROR(VLOOKUP(C187,MATERIALES!$A:$B,2,0),"")</f>
        <v/>
      </c>
      <c r="E187" s="18" t="str">
        <f>IFERROR(VLOOKUP(C187,MATERIALES!$A:$F,6,0),"")</f>
        <v/>
      </c>
      <c r="F187" s="19">
        <f>IFERROR(VLOOKUP(C187,MATERIALES!$A:$I,9,0),0)</f>
        <v>0</v>
      </c>
      <c r="G187" s="17"/>
      <c r="H187" s="20">
        <f t="shared" si="2"/>
        <v>0</v>
      </c>
      <c r="I187" s="33"/>
    </row>
    <row r="188" spans="1:9">
      <c r="A188" s="17"/>
      <c r="B188" s="17"/>
      <c r="C188" s="17"/>
      <c r="D188" s="18" t="str">
        <f>IFERROR(VLOOKUP(C188,MATERIALES!$A:$B,2,0),"")</f>
        <v/>
      </c>
      <c r="E188" s="18" t="str">
        <f>IFERROR(VLOOKUP(C188,MATERIALES!$A:$F,6,0),"")</f>
        <v/>
      </c>
      <c r="F188" s="19">
        <f>IFERROR(VLOOKUP(C188,MATERIALES!$A:$I,9,0),0)</f>
        <v>0</v>
      </c>
      <c r="G188" s="17"/>
      <c r="H188" s="20">
        <f t="shared" si="2"/>
        <v>0</v>
      </c>
      <c r="I188" s="33"/>
    </row>
    <row r="189" spans="1:9">
      <c r="A189" s="17"/>
      <c r="B189" s="17"/>
      <c r="C189" s="17"/>
      <c r="D189" s="18" t="str">
        <f>IFERROR(VLOOKUP(C189,MATERIALES!$A:$B,2,0),"")</f>
        <v/>
      </c>
      <c r="E189" s="18" t="str">
        <f>IFERROR(VLOOKUP(C189,MATERIALES!$A:$F,6,0),"")</f>
        <v/>
      </c>
      <c r="F189" s="19">
        <f>IFERROR(VLOOKUP(C189,MATERIALES!$A:$I,9,0),0)</f>
        <v>0</v>
      </c>
      <c r="G189" s="17"/>
      <c r="H189" s="20">
        <f t="shared" si="2"/>
        <v>0</v>
      </c>
      <c r="I189" s="33"/>
    </row>
    <row r="190" spans="1:9">
      <c r="A190" s="17"/>
      <c r="B190" s="17"/>
      <c r="C190" s="17"/>
      <c r="D190" s="18" t="str">
        <f>IFERROR(VLOOKUP(C190,MATERIALES!$A:$B,2,0),"")</f>
        <v/>
      </c>
      <c r="E190" s="18" t="str">
        <f>IFERROR(VLOOKUP(C190,MATERIALES!$A:$F,6,0),"")</f>
        <v/>
      </c>
      <c r="F190" s="19">
        <f>IFERROR(VLOOKUP(C190,MATERIALES!$A:$I,9,0),0)</f>
        <v>0</v>
      </c>
      <c r="G190" s="17"/>
      <c r="H190" s="20">
        <f t="shared" si="2"/>
        <v>0</v>
      </c>
      <c r="I190" s="33"/>
    </row>
    <row r="191" spans="1:9">
      <c r="A191" s="17"/>
      <c r="B191" s="17"/>
      <c r="C191" s="17"/>
      <c r="D191" s="18" t="str">
        <f>IFERROR(VLOOKUP(C191,MATERIALES!$A:$B,2,0),"")</f>
        <v/>
      </c>
      <c r="E191" s="18" t="str">
        <f>IFERROR(VLOOKUP(C191,MATERIALES!$A:$F,6,0),"")</f>
        <v/>
      </c>
      <c r="F191" s="19">
        <f>IFERROR(VLOOKUP(C191,MATERIALES!$A:$I,9,0),0)</f>
        <v>0</v>
      </c>
      <c r="G191" s="17"/>
      <c r="H191" s="20">
        <f t="shared" si="2"/>
        <v>0</v>
      </c>
      <c r="I191" s="33"/>
    </row>
    <row r="192" spans="1:9">
      <c r="A192" s="17"/>
      <c r="B192" s="17"/>
      <c r="C192" s="17"/>
      <c r="D192" s="18" t="str">
        <f>IFERROR(VLOOKUP(C192,MATERIALES!$A:$B,2,0),"")</f>
        <v/>
      </c>
      <c r="E192" s="18" t="str">
        <f>IFERROR(VLOOKUP(C192,MATERIALES!$A:$F,6,0),"")</f>
        <v/>
      </c>
      <c r="F192" s="19">
        <f>IFERROR(VLOOKUP(C192,MATERIALES!$A:$I,9,0),0)</f>
        <v>0</v>
      </c>
      <c r="G192" s="17"/>
      <c r="H192" s="20">
        <f t="shared" si="2"/>
        <v>0</v>
      </c>
      <c r="I192" s="33"/>
    </row>
    <row r="193" spans="1:9">
      <c r="A193" s="17"/>
      <c r="B193" s="17"/>
      <c r="C193" s="17"/>
      <c r="D193" s="18" t="str">
        <f>IFERROR(VLOOKUP(C193,MATERIALES!$A:$B,2,0),"")</f>
        <v/>
      </c>
      <c r="E193" s="18" t="str">
        <f>IFERROR(VLOOKUP(C193,MATERIALES!$A:$F,6,0),"")</f>
        <v/>
      </c>
      <c r="F193" s="19">
        <f>IFERROR(VLOOKUP(C193,MATERIALES!$A:$I,9,0),0)</f>
        <v>0</v>
      </c>
      <c r="G193" s="17"/>
      <c r="H193" s="20">
        <f t="shared" si="2"/>
        <v>0</v>
      </c>
      <c r="I193" s="33"/>
    </row>
    <row r="194" spans="1:9">
      <c r="A194" s="17"/>
      <c r="B194" s="17"/>
      <c r="C194" s="17"/>
      <c r="D194" s="18" t="str">
        <f>IFERROR(VLOOKUP(C194,MATERIALES!$A:$B,2,0),"")</f>
        <v/>
      </c>
      <c r="E194" s="18" t="str">
        <f>IFERROR(VLOOKUP(C194,MATERIALES!$A:$F,6,0),"")</f>
        <v/>
      </c>
      <c r="F194" s="19">
        <f>IFERROR(VLOOKUP(C194,MATERIALES!$A:$I,9,0),0)</f>
        <v>0</v>
      </c>
      <c r="G194" s="17"/>
      <c r="H194" s="20">
        <f t="shared" si="2"/>
        <v>0</v>
      </c>
      <c r="I194" s="33"/>
    </row>
    <row r="195" spans="1:9">
      <c r="A195" s="17"/>
      <c r="B195" s="17"/>
      <c r="C195" s="17"/>
      <c r="D195" s="18" t="str">
        <f>IFERROR(VLOOKUP(C195,MATERIALES!$A:$B,2,0),"")</f>
        <v/>
      </c>
      <c r="E195" s="18" t="str">
        <f>IFERROR(VLOOKUP(C195,MATERIALES!$A:$F,6,0),"")</f>
        <v/>
      </c>
      <c r="F195" s="19">
        <f>IFERROR(VLOOKUP(C195,MATERIALES!$A:$I,9,0),0)</f>
        <v>0</v>
      </c>
      <c r="G195" s="17"/>
      <c r="H195" s="20">
        <f t="shared" si="2"/>
        <v>0</v>
      </c>
      <c r="I195" s="33"/>
    </row>
    <row r="196" spans="1:9">
      <c r="A196" s="17"/>
      <c r="B196" s="17"/>
      <c r="C196" s="17"/>
      <c r="D196" s="18" t="str">
        <f>IFERROR(VLOOKUP(C196,MATERIALES!$A:$B,2,0),"")</f>
        <v/>
      </c>
      <c r="E196" s="18" t="str">
        <f>IFERROR(VLOOKUP(C196,MATERIALES!$A:$F,6,0),"")</f>
        <v/>
      </c>
      <c r="F196" s="19">
        <f>IFERROR(VLOOKUP(C196,MATERIALES!$A:$I,9,0),0)</f>
        <v>0</v>
      </c>
      <c r="G196" s="17"/>
      <c r="H196" s="20">
        <f t="shared" si="2"/>
        <v>0</v>
      </c>
      <c r="I196" s="33"/>
    </row>
    <row r="197" spans="1:9">
      <c r="A197" s="17"/>
      <c r="B197" s="17"/>
      <c r="C197" s="17"/>
      <c r="D197" s="18" t="str">
        <f>IFERROR(VLOOKUP(C197,MATERIALES!$A:$B,2,0),"")</f>
        <v/>
      </c>
      <c r="E197" s="18" t="str">
        <f>IFERROR(VLOOKUP(C197,MATERIALES!$A:$F,6,0),"")</f>
        <v/>
      </c>
      <c r="F197" s="19">
        <f>IFERROR(VLOOKUP(C197,MATERIALES!$A:$I,9,0),0)</f>
        <v>0</v>
      </c>
      <c r="G197" s="17"/>
      <c r="H197" s="20">
        <f t="shared" ref="H197:H260" si="3">IFERROR(G197*F197,0)</f>
        <v>0</v>
      </c>
      <c r="I197" s="33"/>
    </row>
    <row r="198" spans="1:9">
      <c r="A198" s="17"/>
      <c r="B198" s="17"/>
      <c r="C198" s="17"/>
      <c r="D198" s="18" t="str">
        <f>IFERROR(VLOOKUP(C198,MATERIALES!$A:$B,2,0),"")</f>
        <v/>
      </c>
      <c r="E198" s="18" t="str">
        <f>IFERROR(VLOOKUP(C198,MATERIALES!$A:$F,6,0),"")</f>
        <v/>
      </c>
      <c r="F198" s="19">
        <f>IFERROR(VLOOKUP(C198,MATERIALES!$A:$I,9,0),0)</f>
        <v>0</v>
      </c>
      <c r="G198" s="17"/>
      <c r="H198" s="20">
        <f t="shared" si="3"/>
        <v>0</v>
      </c>
      <c r="I198" s="33"/>
    </row>
    <row r="199" spans="1:9">
      <c r="A199" s="17"/>
      <c r="B199" s="17"/>
      <c r="C199" s="17"/>
      <c r="D199" s="18" t="str">
        <f>IFERROR(VLOOKUP(C199,MATERIALES!$A:$B,2,0),"")</f>
        <v/>
      </c>
      <c r="E199" s="18" t="str">
        <f>IFERROR(VLOOKUP(C199,MATERIALES!$A:$F,6,0),"")</f>
        <v/>
      </c>
      <c r="F199" s="19">
        <f>IFERROR(VLOOKUP(C199,MATERIALES!$A:$I,9,0),0)</f>
        <v>0</v>
      </c>
      <c r="G199" s="17"/>
      <c r="H199" s="20">
        <f t="shared" si="3"/>
        <v>0</v>
      </c>
      <c r="I199" s="33"/>
    </row>
    <row r="200" spans="1:9">
      <c r="A200" s="17"/>
      <c r="B200" s="17"/>
      <c r="C200" s="17"/>
      <c r="D200" s="18" t="str">
        <f>IFERROR(VLOOKUP(C200,MATERIALES!$A:$B,2,0),"")</f>
        <v/>
      </c>
      <c r="E200" s="18" t="str">
        <f>IFERROR(VLOOKUP(C200,MATERIALES!$A:$F,6,0),"")</f>
        <v/>
      </c>
      <c r="F200" s="19">
        <f>IFERROR(VLOOKUP(C200,MATERIALES!$A:$I,9,0),0)</f>
        <v>0</v>
      </c>
      <c r="G200" s="17"/>
      <c r="H200" s="20">
        <f t="shared" si="3"/>
        <v>0</v>
      </c>
      <c r="I200" s="33"/>
    </row>
    <row r="201" spans="1:9">
      <c r="A201" s="17"/>
      <c r="B201" s="17"/>
      <c r="C201" s="17"/>
      <c r="D201" s="18" t="str">
        <f>IFERROR(VLOOKUP(C201,MATERIALES!$A:$B,2,0),"")</f>
        <v/>
      </c>
      <c r="E201" s="18" t="str">
        <f>IFERROR(VLOOKUP(C201,MATERIALES!$A:$F,6,0),"")</f>
        <v/>
      </c>
      <c r="F201" s="19">
        <f>IFERROR(VLOOKUP(C201,MATERIALES!$A:$I,9,0),0)</f>
        <v>0</v>
      </c>
      <c r="G201" s="17"/>
      <c r="H201" s="20">
        <f t="shared" si="3"/>
        <v>0</v>
      </c>
      <c r="I201" s="33"/>
    </row>
    <row r="202" spans="1:9">
      <c r="A202" s="17"/>
      <c r="B202" s="17"/>
      <c r="C202" s="17"/>
      <c r="D202" s="18" t="str">
        <f>IFERROR(VLOOKUP(C202,MATERIALES!$A:$B,2,0),"")</f>
        <v/>
      </c>
      <c r="E202" s="18" t="str">
        <f>IFERROR(VLOOKUP(C202,MATERIALES!$A:$F,6,0),"")</f>
        <v/>
      </c>
      <c r="F202" s="19">
        <f>IFERROR(VLOOKUP(C202,MATERIALES!$A:$I,9,0),0)</f>
        <v>0</v>
      </c>
      <c r="G202" s="17"/>
      <c r="H202" s="20">
        <f t="shared" si="3"/>
        <v>0</v>
      </c>
      <c r="I202" s="33"/>
    </row>
    <row r="203" spans="1:9">
      <c r="A203" s="17"/>
      <c r="B203" s="17"/>
      <c r="C203" s="17"/>
      <c r="D203" s="18" t="str">
        <f>IFERROR(VLOOKUP(C203,MATERIALES!$A:$B,2,0),"")</f>
        <v/>
      </c>
      <c r="E203" s="18" t="str">
        <f>IFERROR(VLOOKUP(C203,MATERIALES!$A:$F,6,0),"")</f>
        <v/>
      </c>
      <c r="F203" s="19">
        <f>IFERROR(VLOOKUP(C203,MATERIALES!$A:$I,9,0),0)</f>
        <v>0</v>
      </c>
      <c r="G203" s="17"/>
      <c r="H203" s="20">
        <f t="shared" si="3"/>
        <v>0</v>
      </c>
      <c r="I203" s="33"/>
    </row>
    <row r="204" spans="1:9">
      <c r="A204" s="17"/>
      <c r="B204" s="17"/>
      <c r="C204" s="17"/>
      <c r="D204" s="18" t="str">
        <f>IFERROR(VLOOKUP(C204,MATERIALES!$A:$B,2,0),"")</f>
        <v/>
      </c>
      <c r="E204" s="18" t="str">
        <f>IFERROR(VLOOKUP(C204,MATERIALES!$A:$F,6,0),"")</f>
        <v/>
      </c>
      <c r="F204" s="19">
        <f>IFERROR(VLOOKUP(C204,MATERIALES!$A:$I,9,0),0)</f>
        <v>0</v>
      </c>
      <c r="G204" s="17"/>
      <c r="H204" s="20">
        <f t="shared" si="3"/>
        <v>0</v>
      </c>
      <c r="I204" s="33"/>
    </row>
    <row r="205" spans="1:9">
      <c r="A205" s="17"/>
      <c r="B205" s="17"/>
      <c r="C205" s="17"/>
      <c r="D205" s="18" t="str">
        <f>IFERROR(VLOOKUP(C205,MATERIALES!$A:$B,2,0),"")</f>
        <v/>
      </c>
      <c r="E205" s="18" t="str">
        <f>IFERROR(VLOOKUP(C205,MATERIALES!$A:$F,6,0),"")</f>
        <v/>
      </c>
      <c r="F205" s="19">
        <f>IFERROR(VLOOKUP(C205,MATERIALES!$A:$I,9,0),0)</f>
        <v>0</v>
      </c>
      <c r="G205" s="17"/>
      <c r="H205" s="20">
        <f t="shared" si="3"/>
        <v>0</v>
      </c>
      <c r="I205" s="33"/>
    </row>
    <row r="206" spans="1:9">
      <c r="A206" s="17"/>
      <c r="B206" s="17"/>
      <c r="C206" s="17"/>
      <c r="D206" s="18" t="str">
        <f>IFERROR(VLOOKUP(C206,MATERIALES!$A:$B,2,0),"")</f>
        <v/>
      </c>
      <c r="E206" s="18" t="str">
        <f>IFERROR(VLOOKUP(C206,MATERIALES!$A:$F,6,0),"")</f>
        <v/>
      </c>
      <c r="F206" s="19">
        <f>IFERROR(VLOOKUP(C206,MATERIALES!$A:$I,9,0),0)</f>
        <v>0</v>
      </c>
      <c r="G206" s="17"/>
      <c r="H206" s="20">
        <f t="shared" si="3"/>
        <v>0</v>
      </c>
      <c r="I206" s="33"/>
    </row>
    <row r="207" spans="1:9">
      <c r="A207" s="17"/>
      <c r="B207" s="17"/>
      <c r="C207" s="17"/>
      <c r="D207" s="18" t="str">
        <f>IFERROR(VLOOKUP(C207,MATERIALES!$A:$B,2,0),"")</f>
        <v/>
      </c>
      <c r="E207" s="18" t="str">
        <f>IFERROR(VLOOKUP(C207,MATERIALES!$A:$F,6,0),"")</f>
        <v/>
      </c>
      <c r="F207" s="19">
        <f>IFERROR(VLOOKUP(C207,MATERIALES!$A:$I,9,0),0)</f>
        <v>0</v>
      </c>
      <c r="G207" s="17"/>
      <c r="H207" s="20">
        <f t="shared" si="3"/>
        <v>0</v>
      </c>
      <c r="I207" s="33"/>
    </row>
    <row r="208" spans="1:9">
      <c r="A208" s="17"/>
      <c r="B208" s="17"/>
      <c r="C208" s="17"/>
      <c r="D208" s="18" t="str">
        <f>IFERROR(VLOOKUP(C208,MATERIALES!$A:$B,2,0),"")</f>
        <v/>
      </c>
      <c r="E208" s="18" t="str">
        <f>IFERROR(VLOOKUP(C208,MATERIALES!$A:$F,6,0),"")</f>
        <v/>
      </c>
      <c r="F208" s="19">
        <f>IFERROR(VLOOKUP(C208,MATERIALES!$A:$I,9,0),0)</f>
        <v>0</v>
      </c>
      <c r="G208" s="17"/>
      <c r="H208" s="20">
        <f t="shared" si="3"/>
        <v>0</v>
      </c>
      <c r="I208" s="33"/>
    </row>
    <row r="209" spans="1:9">
      <c r="A209" s="17"/>
      <c r="B209" s="17"/>
      <c r="C209" s="17"/>
      <c r="D209" s="18" t="str">
        <f>IFERROR(VLOOKUP(C209,MATERIALES!$A:$B,2,0),"")</f>
        <v/>
      </c>
      <c r="E209" s="18" t="str">
        <f>IFERROR(VLOOKUP(C209,MATERIALES!$A:$F,6,0),"")</f>
        <v/>
      </c>
      <c r="F209" s="19">
        <f>IFERROR(VLOOKUP(C209,MATERIALES!$A:$I,9,0),0)</f>
        <v>0</v>
      </c>
      <c r="G209" s="17"/>
      <c r="H209" s="20">
        <f t="shared" si="3"/>
        <v>0</v>
      </c>
      <c r="I209" s="33"/>
    </row>
    <row r="210" spans="1:9">
      <c r="A210" s="17"/>
      <c r="B210" s="17"/>
      <c r="C210" s="17"/>
      <c r="D210" s="18" t="str">
        <f>IFERROR(VLOOKUP(C210,MATERIALES!$A:$B,2,0),"")</f>
        <v/>
      </c>
      <c r="E210" s="18" t="str">
        <f>IFERROR(VLOOKUP(C210,MATERIALES!$A:$F,6,0),"")</f>
        <v/>
      </c>
      <c r="F210" s="19">
        <f>IFERROR(VLOOKUP(C210,MATERIALES!$A:$I,9,0),0)</f>
        <v>0</v>
      </c>
      <c r="G210" s="17"/>
      <c r="H210" s="20">
        <f t="shared" si="3"/>
        <v>0</v>
      </c>
      <c r="I210" s="33"/>
    </row>
    <row r="211" spans="1:9">
      <c r="A211" s="17"/>
      <c r="B211" s="17"/>
      <c r="C211" s="17"/>
      <c r="D211" s="18" t="str">
        <f>IFERROR(VLOOKUP(C211,MATERIALES!$A:$B,2,0),"")</f>
        <v/>
      </c>
      <c r="E211" s="18" t="str">
        <f>IFERROR(VLOOKUP(C211,MATERIALES!$A:$F,6,0),"")</f>
        <v/>
      </c>
      <c r="F211" s="19">
        <f>IFERROR(VLOOKUP(C211,MATERIALES!$A:$I,9,0),0)</f>
        <v>0</v>
      </c>
      <c r="G211" s="17"/>
      <c r="H211" s="20">
        <f t="shared" si="3"/>
        <v>0</v>
      </c>
      <c r="I211" s="33"/>
    </row>
    <row r="212" spans="1:9">
      <c r="A212" s="17"/>
      <c r="B212" s="17"/>
      <c r="C212" s="17"/>
      <c r="D212" s="18" t="str">
        <f>IFERROR(VLOOKUP(C212,MATERIALES!$A:$B,2,0),"")</f>
        <v/>
      </c>
      <c r="E212" s="18" t="str">
        <f>IFERROR(VLOOKUP(C212,MATERIALES!$A:$F,6,0),"")</f>
        <v/>
      </c>
      <c r="F212" s="19">
        <f>IFERROR(VLOOKUP(C212,MATERIALES!$A:$I,9,0),0)</f>
        <v>0</v>
      </c>
      <c r="G212" s="17"/>
      <c r="H212" s="20">
        <f t="shared" si="3"/>
        <v>0</v>
      </c>
      <c r="I212" s="33"/>
    </row>
    <row r="213" spans="1:9">
      <c r="A213" s="17"/>
      <c r="B213" s="17"/>
      <c r="C213" s="17"/>
      <c r="D213" s="18" t="str">
        <f>IFERROR(VLOOKUP(C213,MATERIALES!$A:$B,2,0),"")</f>
        <v/>
      </c>
      <c r="E213" s="18" t="str">
        <f>IFERROR(VLOOKUP(C213,MATERIALES!$A:$F,6,0),"")</f>
        <v/>
      </c>
      <c r="F213" s="19">
        <f>IFERROR(VLOOKUP(C213,MATERIALES!$A:$I,9,0),0)</f>
        <v>0</v>
      </c>
      <c r="G213" s="17"/>
      <c r="H213" s="20">
        <f t="shared" si="3"/>
        <v>0</v>
      </c>
      <c r="I213" s="33"/>
    </row>
    <row r="214" spans="1:9">
      <c r="A214" s="17"/>
      <c r="B214" s="17"/>
      <c r="C214" s="17"/>
      <c r="D214" s="18" t="str">
        <f>IFERROR(VLOOKUP(C214,MATERIALES!$A:$B,2,0),"")</f>
        <v/>
      </c>
      <c r="E214" s="18" t="str">
        <f>IFERROR(VLOOKUP(C214,MATERIALES!$A:$F,6,0),"")</f>
        <v/>
      </c>
      <c r="F214" s="19">
        <f>IFERROR(VLOOKUP(C214,MATERIALES!$A:$I,9,0),0)</f>
        <v>0</v>
      </c>
      <c r="G214" s="17"/>
      <c r="H214" s="20">
        <f t="shared" si="3"/>
        <v>0</v>
      </c>
      <c r="I214" s="33"/>
    </row>
    <row r="215" spans="1:9">
      <c r="A215" s="17"/>
      <c r="B215" s="17"/>
      <c r="C215" s="17"/>
      <c r="D215" s="18" t="str">
        <f>IFERROR(VLOOKUP(C215,MATERIALES!$A:$B,2,0),"")</f>
        <v/>
      </c>
      <c r="E215" s="18" t="str">
        <f>IFERROR(VLOOKUP(C215,MATERIALES!$A:$F,6,0),"")</f>
        <v/>
      </c>
      <c r="F215" s="19">
        <f>IFERROR(VLOOKUP(C215,MATERIALES!$A:$I,9,0),0)</f>
        <v>0</v>
      </c>
      <c r="G215" s="17"/>
      <c r="H215" s="20">
        <f t="shared" si="3"/>
        <v>0</v>
      </c>
      <c r="I215" s="33"/>
    </row>
    <row r="216" spans="1:9">
      <c r="A216" s="17"/>
      <c r="B216" s="17"/>
      <c r="C216" s="17"/>
      <c r="D216" s="18" t="str">
        <f>IFERROR(VLOOKUP(C216,MATERIALES!$A:$B,2,0),"")</f>
        <v/>
      </c>
      <c r="E216" s="18" t="str">
        <f>IFERROR(VLOOKUP(C216,MATERIALES!$A:$F,6,0),"")</f>
        <v/>
      </c>
      <c r="F216" s="19">
        <f>IFERROR(VLOOKUP(C216,MATERIALES!$A:$I,9,0),0)</f>
        <v>0</v>
      </c>
      <c r="G216" s="17"/>
      <c r="H216" s="20">
        <f t="shared" si="3"/>
        <v>0</v>
      </c>
      <c r="I216" s="33"/>
    </row>
    <row r="217" spans="1:9">
      <c r="A217" s="17"/>
      <c r="B217" s="17"/>
      <c r="C217" s="17"/>
      <c r="D217" s="18" t="str">
        <f>IFERROR(VLOOKUP(C217,MATERIALES!$A:$B,2,0),"")</f>
        <v/>
      </c>
      <c r="E217" s="18" t="str">
        <f>IFERROR(VLOOKUP(C217,MATERIALES!$A:$F,6,0),"")</f>
        <v/>
      </c>
      <c r="F217" s="19">
        <f>IFERROR(VLOOKUP(C217,MATERIALES!$A:$I,9,0),0)</f>
        <v>0</v>
      </c>
      <c r="G217" s="17"/>
      <c r="H217" s="20">
        <f t="shared" si="3"/>
        <v>0</v>
      </c>
      <c r="I217" s="33"/>
    </row>
    <row r="218" spans="1:9">
      <c r="A218" s="17"/>
      <c r="B218" s="17"/>
      <c r="C218" s="17"/>
      <c r="D218" s="18" t="str">
        <f>IFERROR(VLOOKUP(C218,MATERIALES!$A:$B,2,0),"")</f>
        <v/>
      </c>
      <c r="E218" s="18" t="str">
        <f>IFERROR(VLOOKUP(C218,MATERIALES!$A:$F,6,0),"")</f>
        <v/>
      </c>
      <c r="F218" s="19">
        <f>IFERROR(VLOOKUP(C218,MATERIALES!$A:$I,9,0),0)</f>
        <v>0</v>
      </c>
      <c r="G218" s="17"/>
      <c r="H218" s="20">
        <f t="shared" si="3"/>
        <v>0</v>
      </c>
      <c r="I218" s="33"/>
    </row>
    <row r="219" spans="1:9">
      <c r="A219" s="17"/>
      <c r="B219" s="17"/>
      <c r="C219" s="17"/>
      <c r="D219" s="18" t="str">
        <f>IFERROR(VLOOKUP(C219,MATERIALES!$A:$B,2,0),"")</f>
        <v/>
      </c>
      <c r="E219" s="18" t="str">
        <f>IFERROR(VLOOKUP(C219,MATERIALES!$A:$F,6,0),"")</f>
        <v/>
      </c>
      <c r="F219" s="19">
        <f>IFERROR(VLOOKUP(C219,MATERIALES!$A:$I,9,0),0)</f>
        <v>0</v>
      </c>
      <c r="G219" s="17"/>
      <c r="H219" s="20">
        <f t="shared" si="3"/>
        <v>0</v>
      </c>
      <c r="I219" s="33"/>
    </row>
    <row r="220" spans="1:9">
      <c r="A220" s="17"/>
      <c r="B220" s="17"/>
      <c r="C220" s="17"/>
      <c r="D220" s="18" t="str">
        <f>IFERROR(VLOOKUP(C220,MATERIALES!$A:$B,2,0),"")</f>
        <v/>
      </c>
      <c r="E220" s="18" t="str">
        <f>IFERROR(VLOOKUP(C220,MATERIALES!$A:$F,6,0),"")</f>
        <v/>
      </c>
      <c r="F220" s="19">
        <f>IFERROR(VLOOKUP(C220,MATERIALES!$A:$I,9,0),0)</f>
        <v>0</v>
      </c>
      <c r="G220" s="17"/>
      <c r="H220" s="20">
        <f t="shared" si="3"/>
        <v>0</v>
      </c>
      <c r="I220" s="33"/>
    </row>
    <row r="221" spans="1:9">
      <c r="A221" s="17"/>
      <c r="B221" s="17"/>
      <c r="C221" s="17"/>
      <c r="D221" s="18" t="str">
        <f>IFERROR(VLOOKUP(C221,MATERIALES!$A:$B,2,0),"")</f>
        <v/>
      </c>
      <c r="E221" s="18" t="str">
        <f>IFERROR(VLOOKUP(C221,MATERIALES!$A:$F,6,0),"")</f>
        <v/>
      </c>
      <c r="F221" s="19">
        <f>IFERROR(VLOOKUP(C221,MATERIALES!$A:$I,9,0),0)</f>
        <v>0</v>
      </c>
      <c r="G221" s="17"/>
      <c r="H221" s="20">
        <f t="shared" si="3"/>
        <v>0</v>
      </c>
      <c r="I221" s="33"/>
    </row>
    <row r="222" spans="1:9">
      <c r="A222" s="17"/>
      <c r="B222" s="17"/>
      <c r="C222" s="17"/>
      <c r="D222" s="18" t="str">
        <f>IFERROR(VLOOKUP(C222,MATERIALES!$A:$B,2,0),"")</f>
        <v/>
      </c>
      <c r="E222" s="18" t="str">
        <f>IFERROR(VLOOKUP(C222,MATERIALES!$A:$F,6,0),"")</f>
        <v/>
      </c>
      <c r="F222" s="19">
        <f>IFERROR(VLOOKUP(C222,MATERIALES!$A:$I,9,0),0)</f>
        <v>0</v>
      </c>
      <c r="G222" s="17"/>
      <c r="H222" s="20">
        <f t="shared" si="3"/>
        <v>0</v>
      </c>
      <c r="I222" s="33"/>
    </row>
    <row r="223" spans="1:9">
      <c r="A223" s="17"/>
      <c r="B223" s="17"/>
      <c r="C223" s="17"/>
      <c r="D223" s="18" t="str">
        <f>IFERROR(VLOOKUP(C223,MATERIALES!$A:$B,2,0),"")</f>
        <v/>
      </c>
      <c r="E223" s="18" t="str">
        <f>IFERROR(VLOOKUP(C223,MATERIALES!$A:$F,6,0),"")</f>
        <v/>
      </c>
      <c r="F223" s="19">
        <f>IFERROR(VLOOKUP(C223,MATERIALES!$A:$I,9,0),0)</f>
        <v>0</v>
      </c>
      <c r="G223" s="17"/>
      <c r="H223" s="20">
        <f t="shared" si="3"/>
        <v>0</v>
      </c>
      <c r="I223" s="33"/>
    </row>
    <row r="224" spans="1:9">
      <c r="A224" s="17"/>
      <c r="B224" s="17"/>
      <c r="C224" s="17"/>
      <c r="D224" s="18" t="str">
        <f>IFERROR(VLOOKUP(C224,MATERIALES!$A:$B,2,0),"")</f>
        <v/>
      </c>
      <c r="E224" s="18" t="str">
        <f>IFERROR(VLOOKUP(C224,MATERIALES!$A:$F,6,0),"")</f>
        <v/>
      </c>
      <c r="F224" s="19">
        <f>IFERROR(VLOOKUP(C224,MATERIALES!$A:$I,9,0),0)</f>
        <v>0</v>
      </c>
      <c r="G224" s="17"/>
      <c r="H224" s="20">
        <f t="shared" si="3"/>
        <v>0</v>
      </c>
      <c r="I224" s="33"/>
    </row>
    <row r="225" spans="1:9">
      <c r="A225" s="17"/>
      <c r="B225" s="17"/>
      <c r="C225" s="17"/>
      <c r="D225" s="18" t="str">
        <f>IFERROR(VLOOKUP(C225,MATERIALES!$A:$B,2,0),"")</f>
        <v/>
      </c>
      <c r="E225" s="18" t="str">
        <f>IFERROR(VLOOKUP(C225,MATERIALES!$A:$F,6,0),"")</f>
        <v/>
      </c>
      <c r="F225" s="19">
        <f>IFERROR(VLOOKUP(C225,MATERIALES!$A:$I,9,0),0)</f>
        <v>0</v>
      </c>
      <c r="G225" s="17"/>
      <c r="H225" s="20">
        <f t="shared" si="3"/>
        <v>0</v>
      </c>
      <c r="I225" s="33"/>
    </row>
    <row r="226" spans="1:9">
      <c r="A226" s="17"/>
      <c r="B226" s="17"/>
      <c r="C226" s="17"/>
      <c r="D226" s="18" t="str">
        <f>IFERROR(VLOOKUP(C226,MATERIALES!$A:$B,2,0),"")</f>
        <v/>
      </c>
      <c r="E226" s="18" t="str">
        <f>IFERROR(VLOOKUP(C226,MATERIALES!$A:$F,6,0),"")</f>
        <v/>
      </c>
      <c r="F226" s="19">
        <f>IFERROR(VLOOKUP(C226,MATERIALES!$A:$I,9,0),0)</f>
        <v>0</v>
      </c>
      <c r="G226" s="17"/>
      <c r="H226" s="20">
        <f t="shared" si="3"/>
        <v>0</v>
      </c>
      <c r="I226" s="33"/>
    </row>
    <row r="227" spans="1:9">
      <c r="A227" s="17"/>
      <c r="B227" s="17"/>
      <c r="C227" s="17"/>
      <c r="D227" s="18" t="str">
        <f>IFERROR(VLOOKUP(C227,MATERIALES!$A:$B,2,0),"")</f>
        <v/>
      </c>
      <c r="E227" s="18" t="str">
        <f>IFERROR(VLOOKUP(C227,MATERIALES!$A:$F,6,0),"")</f>
        <v/>
      </c>
      <c r="F227" s="19">
        <f>IFERROR(VLOOKUP(C227,MATERIALES!$A:$I,9,0),0)</f>
        <v>0</v>
      </c>
      <c r="G227" s="17"/>
      <c r="H227" s="20">
        <f t="shared" si="3"/>
        <v>0</v>
      </c>
      <c r="I227" s="33"/>
    </row>
    <row r="228" spans="1:9">
      <c r="A228" s="17"/>
      <c r="B228" s="17"/>
      <c r="C228" s="17"/>
      <c r="D228" s="18" t="str">
        <f>IFERROR(VLOOKUP(C228,MATERIALES!$A:$B,2,0),"")</f>
        <v/>
      </c>
      <c r="E228" s="18" t="str">
        <f>IFERROR(VLOOKUP(C228,MATERIALES!$A:$F,6,0),"")</f>
        <v/>
      </c>
      <c r="F228" s="19">
        <f>IFERROR(VLOOKUP(C228,MATERIALES!$A:$I,9,0),0)</f>
        <v>0</v>
      </c>
      <c r="G228" s="17"/>
      <c r="H228" s="20">
        <f t="shared" si="3"/>
        <v>0</v>
      </c>
      <c r="I228" s="33"/>
    </row>
    <row r="229" spans="1:9">
      <c r="A229" s="17"/>
      <c r="B229" s="17"/>
      <c r="C229" s="17"/>
      <c r="D229" s="18" t="str">
        <f>IFERROR(VLOOKUP(C229,MATERIALES!$A:$B,2,0),"")</f>
        <v/>
      </c>
      <c r="E229" s="18" t="str">
        <f>IFERROR(VLOOKUP(C229,MATERIALES!$A:$F,6,0),"")</f>
        <v/>
      </c>
      <c r="F229" s="19">
        <f>IFERROR(VLOOKUP(C229,MATERIALES!$A:$I,9,0),0)</f>
        <v>0</v>
      </c>
      <c r="G229" s="17"/>
      <c r="H229" s="20">
        <f t="shared" si="3"/>
        <v>0</v>
      </c>
      <c r="I229" s="33"/>
    </row>
    <row r="230" spans="1:9">
      <c r="A230" s="17"/>
      <c r="B230" s="17"/>
      <c r="C230" s="17"/>
      <c r="D230" s="18" t="str">
        <f>IFERROR(VLOOKUP(C230,MATERIALES!$A:$B,2,0),"")</f>
        <v/>
      </c>
      <c r="E230" s="18" t="str">
        <f>IFERROR(VLOOKUP(C230,MATERIALES!$A:$F,6,0),"")</f>
        <v/>
      </c>
      <c r="F230" s="19">
        <f>IFERROR(VLOOKUP(C230,MATERIALES!$A:$I,9,0),0)</f>
        <v>0</v>
      </c>
      <c r="G230" s="17"/>
      <c r="H230" s="20">
        <f t="shared" si="3"/>
        <v>0</v>
      </c>
      <c r="I230" s="33"/>
    </row>
    <row r="231" spans="1:9">
      <c r="A231" s="17"/>
      <c r="B231" s="17"/>
      <c r="C231" s="17"/>
      <c r="D231" s="18" t="str">
        <f>IFERROR(VLOOKUP(C231,MATERIALES!$A:$B,2,0),"")</f>
        <v/>
      </c>
      <c r="E231" s="18" t="str">
        <f>IFERROR(VLOOKUP(C231,MATERIALES!$A:$F,6,0),"")</f>
        <v/>
      </c>
      <c r="F231" s="19">
        <f>IFERROR(VLOOKUP(C231,MATERIALES!$A:$I,9,0),0)</f>
        <v>0</v>
      </c>
      <c r="G231" s="17"/>
      <c r="H231" s="20">
        <f t="shared" si="3"/>
        <v>0</v>
      </c>
      <c r="I231" s="33"/>
    </row>
    <row r="232" spans="1:9">
      <c r="A232" s="17"/>
      <c r="B232" s="17"/>
      <c r="C232" s="17"/>
      <c r="D232" s="18" t="str">
        <f>IFERROR(VLOOKUP(C232,MATERIALES!$A:$B,2,0),"")</f>
        <v/>
      </c>
      <c r="E232" s="18" t="str">
        <f>IFERROR(VLOOKUP(C232,MATERIALES!$A:$F,6,0),"")</f>
        <v/>
      </c>
      <c r="F232" s="19">
        <f>IFERROR(VLOOKUP(C232,MATERIALES!$A:$I,9,0),0)</f>
        <v>0</v>
      </c>
      <c r="G232" s="17"/>
      <c r="H232" s="20">
        <f t="shared" si="3"/>
        <v>0</v>
      </c>
      <c r="I232" s="33"/>
    </row>
    <row r="233" spans="1:9">
      <c r="A233" s="17"/>
      <c r="B233" s="17"/>
      <c r="C233" s="17"/>
      <c r="D233" s="18" t="str">
        <f>IFERROR(VLOOKUP(C233,MATERIALES!$A:$B,2,0),"")</f>
        <v/>
      </c>
      <c r="E233" s="18" t="str">
        <f>IFERROR(VLOOKUP(C233,MATERIALES!$A:$F,6,0),"")</f>
        <v/>
      </c>
      <c r="F233" s="19">
        <f>IFERROR(VLOOKUP(C233,MATERIALES!$A:$I,9,0),0)</f>
        <v>0</v>
      </c>
      <c r="G233" s="17"/>
      <c r="H233" s="20">
        <f t="shared" si="3"/>
        <v>0</v>
      </c>
      <c r="I233" s="33"/>
    </row>
    <row r="234" spans="1:9">
      <c r="A234" s="17"/>
      <c r="B234" s="17"/>
      <c r="C234" s="17"/>
      <c r="D234" s="18" t="str">
        <f>IFERROR(VLOOKUP(C234,MATERIALES!$A:$B,2,0),"")</f>
        <v/>
      </c>
      <c r="E234" s="18" t="str">
        <f>IFERROR(VLOOKUP(C234,MATERIALES!$A:$F,6,0),"")</f>
        <v/>
      </c>
      <c r="F234" s="19">
        <f>IFERROR(VLOOKUP(C234,MATERIALES!$A:$I,9,0),0)</f>
        <v>0</v>
      </c>
      <c r="G234" s="17"/>
      <c r="H234" s="20">
        <f t="shared" si="3"/>
        <v>0</v>
      </c>
      <c r="I234" s="33"/>
    </row>
    <row r="235" spans="1:9">
      <c r="A235" s="17"/>
      <c r="B235" s="17"/>
      <c r="C235" s="17"/>
      <c r="D235" s="18" t="str">
        <f>IFERROR(VLOOKUP(C235,MATERIALES!$A:$B,2,0),"")</f>
        <v/>
      </c>
      <c r="E235" s="18" t="str">
        <f>IFERROR(VLOOKUP(C235,MATERIALES!$A:$F,6,0),"")</f>
        <v/>
      </c>
      <c r="F235" s="19">
        <f>IFERROR(VLOOKUP(C235,MATERIALES!$A:$I,9,0),0)</f>
        <v>0</v>
      </c>
      <c r="G235" s="17"/>
      <c r="H235" s="20">
        <f t="shared" si="3"/>
        <v>0</v>
      </c>
      <c r="I235" s="33"/>
    </row>
    <row r="236" spans="1:9">
      <c r="A236" s="17"/>
      <c r="B236" s="17"/>
      <c r="C236" s="17"/>
      <c r="D236" s="18" t="str">
        <f>IFERROR(VLOOKUP(C236,MATERIALES!$A:$B,2,0),"")</f>
        <v/>
      </c>
      <c r="E236" s="18" t="str">
        <f>IFERROR(VLOOKUP(C236,MATERIALES!$A:$F,6,0),"")</f>
        <v/>
      </c>
      <c r="F236" s="19">
        <f>IFERROR(VLOOKUP(C236,MATERIALES!$A:$I,9,0),0)</f>
        <v>0</v>
      </c>
      <c r="G236" s="17"/>
      <c r="H236" s="20">
        <f t="shared" si="3"/>
        <v>0</v>
      </c>
      <c r="I236" s="33"/>
    </row>
    <row r="237" spans="1:9">
      <c r="A237" s="17"/>
      <c r="B237" s="17"/>
      <c r="C237" s="17"/>
      <c r="D237" s="18" t="str">
        <f>IFERROR(VLOOKUP(C237,MATERIALES!$A:$B,2,0),"")</f>
        <v/>
      </c>
      <c r="E237" s="18" t="str">
        <f>IFERROR(VLOOKUP(C237,MATERIALES!$A:$F,6,0),"")</f>
        <v/>
      </c>
      <c r="F237" s="19">
        <f>IFERROR(VLOOKUP(C237,MATERIALES!$A:$I,9,0),0)</f>
        <v>0</v>
      </c>
      <c r="G237" s="17"/>
      <c r="H237" s="20">
        <f t="shared" si="3"/>
        <v>0</v>
      </c>
      <c r="I237" s="33"/>
    </row>
    <row r="238" spans="1:9">
      <c r="A238" s="17"/>
      <c r="B238" s="17"/>
      <c r="C238" s="17"/>
      <c r="D238" s="18" t="str">
        <f>IFERROR(VLOOKUP(C238,MATERIALES!$A:$B,2,0),"")</f>
        <v/>
      </c>
      <c r="E238" s="18" t="str">
        <f>IFERROR(VLOOKUP(C238,MATERIALES!$A:$F,6,0),"")</f>
        <v/>
      </c>
      <c r="F238" s="19">
        <f>IFERROR(VLOOKUP(C238,MATERIALES!$A:$I,9,0),0)</f>
        <v>0</v>
      </c>
      <c r="G238" s="17"/>
      <c r="H238" s="20">
        <f t="shared" si="3"/>
        <v>0</v>
      </c>
      <c r="I238" s="33"/>
    </row>
    <row r="239" spans="1:9">
      <c r="A239" s="17"/>
      <c r="B239" s="17"/>
      <c r="C239" s="17"/>
      <c r="D239" s="18" t="str">
        <f>IFERROR(VLOOKUP(C239,MATERIALES!$A:$B,2,0),"")</f>
        <v/>
      </c>
      <c r="E239" s="18" t="str">
        <f>IFERROR(VLOOKUP(C239,MATERIALES!$A:$F,6,0),"")</f>
        <v/>
      </c>
      <c r="F239" s="19">
        <f>IFERROR(VLOOKUP(C239,MATERIALES!$A:$I,9,0),0)</f>
        <v>0</v>
      </c>
      <c r="G239" s="17"/>
      <c r="H239" s="20">
        <f t="shared" si="3"/>
        <v>0</v>
      </c>
      <c r="I239" s="33"/>
    </row>
    <row r="240" spans="1:9">
      <c r="A240" s="17"/>
      <c r="B240" s="17"/>
      <c r="C240" s="17"/>
      <c r="D240" s="18" t="str">
        <f>IFERROR(VLOOKUP(C240,MATERIALES!$A:$B,2,0),"")</f>
        <v/>
      </c>
      <c r="E240" s="18" t="str">
        <f>IFERROR(VLOOKUP(C240,MATERIALES!$A:$F,6,0),"")</f>
        <v/>
      </c>
      <c r="F240" s="19">
        <f>IFERROR(VLOOKUP(C240,MATERIALES!$A:$I,9,0),0)</f>
        <v>0</v>
      </c>
      <c r="G240" s="17"/>
      <c r="H240" s="20">
        <f t="shared" si="3"/>
        <v>0</v>
      </c>
      <c r="I240" s="33"/>
    </row>
    <row r="241" spans="1:9">
      <c r="A241" s="17"/>
      <c r="B241" s="17"/>
      <c r="C241" s="17"/>
      <c r="D241" s="18" t="str">
        <f>IFERROR(VLOOKUP(C241,MATERIALES!$A:$B,2,0),"")</f>
        <v/>
      </c>
      <c r="E241" s="18" t="str">
        <f>IFERROR(VLOOKUP(C241,MATERIALES!$A:$F,6,0),"")</f>
        <v/>
      </c>
      <c r="F241" s="19">
        <f>IFERROR(VLOOKUP(C241,MATERIALES!$A:$I,9,0),0)</f>
        <v>0</v>
      </c>
      <c r="G241" s="17"/>
      <c r="H241" s="20">
        <f t="shared" si="3"/>
        <v>0</v>
      </c>
      <c r="I241" s="33"/>
    </row>
    <row r="242" spans="1:9">
      <c r="A242" s="17"/>
      <c r="B242" s="17"/>
      <c r="C242" s="17"/>
      <c r="D242" s="18" t="str">
        <f>IFERROR(VLOOKUP(C242,MATERIALES!$A:$B,2,0),"")</f>
        <v/>
      </c>
      <c r="E242" s="18" t="str">
        <f>IFERROR(VLOOKUP(C242,MATERIALES!$A:$F,6,0),"")</f>
        <v/>
      </c>
      <c r="F242" s="19">
        <f>IFERROR(VLOOKUP(C242,MATERIALES!$A:$I,9,0),0)</f>
        <v>0</v>
      </c>
      <c r="G242" s="17"/>
      <c r="H242" s="20">
        <f t="shared" si="3"/>
        <v>0</v>
      </c>
      <c r="I242" s="33"/>
    </row>
    <row r="243" spans="1:9">
      <c r="A243" s="17"/>
      <c r="B243" s="17"/>
      <c r="C243" s="17"/>
      <c r="D243" s="18" t="str">
        <f>IFERROR(VLOOKUP(C243,MATERIALES!$A:$B,2,0),"")</f>
        <v/>
      </c>
      <c r="E243" s="18" t="str">
        <f>IFERROR(VLOOKUP(C243,MATERIALES!$A:$F,6,0),"")</f>
        <v/>
      </c>
      <c r="F243" s="19">
        <f>IFERROR(VLOOKUP(C243,MATERIALES!$A:$I,9,0),0)</f>
        <v>0</v>
      </c>
      <c r="G243" s="17"/>
      <c r="H243" s="20">
        <f t="shared" si="3"/>
        <v>0</v>
      </c>
      <c r="I243" s="33"/>
    </row>
    <row r="244" spans="1:9">
      <c r="A244" s="17"/>
      <c r="B244" s="17"/>
      <c r="C244" s="17"/>
      <c r="D244" s="18" t="str">
        <f>IFERROR(VLOOKUP(C244,MATERIALES!$A:$B,2,0),"")</f>
        <v/>
      </c>
      <c r="E244" s="18" t="str">
        <f>IFERROR(VLOOKUP(C244,MATERIALES!$A:$F,6,0),"")</f>
        <v/>
      </c>
      <c r="F244" s="19">
        <f>IFERROR(VLOOKUP(C244,MATERIALES!$A:$I,9,0),0)</f>
        <v>0</v>
      </c>
      <c r="G244" s="17"/>
      <c r="H244" s="20">
        <f t="shared" si="3"/>
        <v>0</v>
      </c>
      <c r="I244" s="33"/>
    </row>
    <row r="245" spans="1:9">
      <c r="A245" s="17"/>
      <c r="B245" s="17"/>
      <c r="C245" s="17"/>
      <c r="D245" s="18" t="str">
        <f>IFERROR(VLOOKUP(C245,MATERIALES!$A:$B,2,0),"")</f>
        <v/>
      </c>
      <c r="E245" s="18" t="str">
        <f>IFERROR(VLOOKUP(C245,MATERIALES!$A:$F,6,0),"")</f>
        <v/>
      </c>
      <c r="F245" s="19">
        <f>IFERROR(VLOOKUP(C245,MATERIALES!$A:$I,9,0),0)</f>
        <v>0</v>
      </c>
      <c r="G245" s="17"/>
      <c r="H245" s="20">
        <f t="shared" si="3"/>
        <v>0</v>
      </c>
      <c r="I245" s="33"/>
    </row>
    <row r="246" spans="1:9">
      <c r="A246" s="17"/>
      <c r="B246" s="17"/>
      <c r="C246" s="17"/>
      <c r="D246" s="18" t="str">
        <f>IFERROR(VLOOKUP(C246,MATERIALES!$A:$B,2,0),"")</f>
        <v/>
      </c>
      <c r="E246" s="18" t="str">
        <f>IFERROR(VLOOKUP(C246,MATERIALES!$A:$F,6,0),"")</f>
        <v/>
      </c>
      <c r="F246" s="19">
        <f>IFERROR(VLOOKUP(C246,MATERIALES!$A:$I,9,0),0)</f>
        <v>0</v>
      </c>
      <c r="G246" s="17"/>
      <c r="H246" s="20">
        <f t="shared" si="3"/>
        <v>0</v>
      </c>
      <c r="I246" s="33"/>
    </row>
    <row r="247" spans="1:9">
      <c r="A247" s="17"/>
      <c r="B247" s="17"/>
      <c r="C247" s="17"/>
      <c r="D247" s="18" t="str">
        <f>IFERROR(VLOOKUP(C247,MATERIALES!$A:$B,2,0),"")</f>
        <v/>
      </c>
      <c r="E247" s="18" t="str">
        <f>IFERROR(VLOOKUP(C247,MATERIALES!$A:$F,6,0),"")</f>
        <v/>
      </c>
      <c r="F247" s="19">
        <f>IFERROR(VLOOKUP(C247,MATERIALES!$A:$I,9,0),0)</f>
        <v>0</v>
      </c>
      <c r="G247" s="17"/>
      <c r="H247" s="20">
        <f t="shared" si="3"/>
        <v>0</v>
      </c>
      <c r="I247" s="33"/>
    </row>
    <row r="248" spans="1:9">
      <c r="A248" s="17"/>
      <c r="B248" s="17"/>
      <c r="C248" s="17"/>
      <c r="D248" s="18" t="str">
        <f>IFERROR(VLOOKUP(C248,MATERIALES!$A:$B,2,0),"")</f>
        <v/>
      </c>
      <c r="E248" s="18" t="str">
        <f>IFERROR(VLOOKUP(C248,MATERIALES!$A:$F,6,0),"")</f>
        <v/>
      </c>
      <c r="F248" s="19">
        <f>IFERROR(VLOOKUP(C248,MATERIALES!$A:$I,9,0),0)</f>
        <v>0</v>
      </c>
      <c r="G248" s="17"/>
      <c r="H248" s="20">
        <f t="shared" si="3"/>
        <v>0</v>
      </c>
      <c r="I248" s="33"/>
    </row>
    <row r="249" spans="1:9">
      <c r="A249" s="17"/>
      <c r="B249" s="17"/>
      <c r="C249" s="17"/>
      <c r="D249" s="18" t="str">
        <f>IFERROR(VLOOKUP(C249,MATERIALES!$A:$B,2,0),"")</f>
        <v/>
      </c>
      <c r="E249" s="18" t="str">
        <f>IFERROR(VLOOKUP(C249,MATERIALES!$A:$F,6,0),"")</f>
        <v/>
      </c>
      <c r="F249" s="19">
        <f>IFERROR(VLOOKUP(C249,MATERIALES!$A:$I,9,0),0)</f>
        <v>0</v>
      </c>
      <c r="G249" s="17"/>
      <c r="H249" s="20">
        <f t="shared" si="3"/>
        <v>0</v>
      </c>
      <c r="I249" s="33"/>
    </row>
    <row r="250" spans="1:9">
      <c r="A250" s="17"/>
      <c r="B250" s="17"/>
      <c r="C250" s="17"/>
      <c r="D250" s="18" t="str">
        <f>IFERROR(VLOOKUP(C250,MATERIALES!$A:$B,2,0),"")</f>
        <v/>
      </c>
      <c r="E250" s="18" t="str">
        <f>IFERROR(VLOOKUP(C250,MATERIALES!$A:$F,6,0),"")</f>
        <v/>
      </c>
      <c r="F250" s="19">
        <f>IFERROR(VLOOKUP(C250,MATERIALES!$A:$I,9,0),0)</f>
        <v>0</v>
      </c>
      <c r="G250" s="17"/>
      <c r="H250" s="20">
        <f t="shared" si="3"/>
        <v>0</v>
      </c>
      <c r="I250" s="33"/>
    </row>
    <row r="251" spans="1:9">
      <c r="A251" s="17"/>
      <c r="B251" s="17"/>
      <c r="C251" s="17"/>
      <c r="D251" s="18" t="str">
        <f>IFERROR(VLOOKUP(C251,MATERIALES!$A:$B,2,0),"")</f>
        <v/>
      </c>
      <c r="E251" s="18" t="str">
        <f>IFERROR(VLOOKUP(C251,MATERIALES!$A:$F,6,0),"")</f>
        <v/>
      </c>
      <c r="F251" s="19">
        <f>IFERROR(VLOOKUP(C251,MATERIALES!$A:$I,9,0),0)</f>
        <v>0</v>
      </c>
      <c r="G251" s="17"/>
      <c r="H251" s="20">
        <f t="shared" si="3"/>
        <v>0</v>
      </c>
      <c r="I251" s="33"/>
    </row>
    <row r="252" spans="1:9">
      <c r="A252" s="17"/>
      <c r="B252" s="17"/>
      <c r="C252" s="17"/>
      <c r="D252" s="18" t="str">
        <f>IFERROR(VLOOKUP(C252,MATERIALES!$A:$B,2,0),"")</f>
        <v/>
      </c>
      <c r="E252" s="18" t="str">
        <f>IFERROR(VLOOKUP(C252,MATERIALES!$A:$F,6,0),"")</f>
        <v/>
      </c>
      <c r="F252" s="19">
        <f>IFERROR(VLOOKUP(C252,MATERIALES!$A:$I,9,0),0)</f>
        <v>0</v>
      </c>
      <c r="G252" s="17"/>
      <c r="H252" s="20">
        <f t="shared" si="3"/>
        <v>0</v>
      </c>
      <c r="I252" s="33"/>
    </row>
    <row r="253" spans="1:9">
      <c r="A253" s="17"/>
      <c r="B253" s="17"/>
      <c r="C253" s="17"/>
      <c r="D253" s="18" t="str">
        <f>IFERROR(VLOOKUP(C253,MATERIALES!$A:$B,2,0),"")</f>
        <v/>
      </c>
      <c r="E253" s="18" t="str">
        <f>IFERROR(VLOOKUP(C253,MATERIALES!$A:$F,6,0),"")</f>
        <v/>
      </c>
      <c r="F253" s="19">
        <f>IFERROR(VLOOKUP(C253,MATERIALES!$A:$I,9,0),0)</f>
        <v>0</v>
      </c>
      <c r="G253" s="17"/>
      <c r="H253" s="20">
        <f t="shared" si="3"/>
        <v>0</v>
      </c>
      <c r="I253" s="33"/>
    </row>
    <row r="254" spans="1:9">
      <c r="A254" s="17"/>
      <c r="B254" s="17"/>
      <c r="C254" s="17"/>
      <c r="D254" s="18" t="str">
        <f>IFERROR(VLOOKUP(C254,MATERIALES!$A:$B,2,0),"")</f>
        <v/>
      </c>
      <c r="E254" s="18" t="str">
        <f>IFERROR(VLOOKUP(C254,MATERIALES!$A:$F,6,0),"")</f>
        <v/>
      </c>
      <c r="F254" s="19">
        <f>IFERROR(VLOOKUP(C254,MATERIALES!$A:$I,9,0),0)</f>
        <v>0</v>
      </c>
      <c r="G254" s="17"/>
      <c r="H254" s="20">
        <f t="shared" si="3"/>
        <v>0</v>
      </c>
      <c r="I254" s="33"/>
    </row>
    <row r="255" spans="1:9">
      <c r="A255" s="17"/>
      <c r="B255" s="17"/>
      <c r="C255" s="17"/>
      <c r="D255" s="18" t="str">
        <f>IFERROR(VLOOKUP(C255,MATERIALES!$A:$B,2,0),"")</f>
        <v/>
      </c>
      <c r="E255" s="18" t="str">
        <f>IFERROR(VLOOKUP(C255,MATERIALES!$A:$F,6,0),"")</f>
        <v/>
      </c>
      <c r="F255" s="19">
        <f>IFERROR(VLOOKUP(C255,MATERIALES!$A:$I,9,0),0)</f>
        <v>0</v>
      </c>
      <c r="G255" s="17"/>
      <c r="H255" s="20">
        <f t="shared" si="3"/>
        <v>0</v>
      </c>
      <c r="I255" s="33"/>
    </row>
    <row r="256" spans="1:9">
      <c r="A256" s="17"/>
      <c r="B256" s="17"/>
      <c r="C256" s="17"/>
      <c r="D256" s="18" t="str">
        <f>IFERROR(VLOOKUP(C256,MATERIALES!$A:$B,2,0),"")</f>
        <v/>
      </c>
      <c r="E256" s="18" t="str">
        <f>IFERROR(VLOOKUP(C256,MATERIALES!$A:$F,6,0),"")</f>
        <v/>
      </c>
      <c r="F256" s="19">
        <f>IFERROR(VLOOKUP(C256,MATERIALES!$A:$I,9,0),0)</f>
        <v>0</v>
      </c>
      <c r="G256" s="17"/>
      <c r="H256" s="20">
        <f t="shared" si="3"/>
        <v>0</v>
      </c>
      <c r="I256" s="33"/>
    </row>
    <row r="257" spans="1:9">
      <c r="A257" s="17"/>
      <c r="B257" s="17"/>
      <c r="C257" s="17"/>
      <c r="D257" s="18" t="str">
        <f>IFERROR(VLOOKUP(C257,MATERIALES!$A:$B,2,0),"")</f>
        <v/>
      </c>
      <c r="E257" s="18" t="str">
        <f>IFERROR(VLOOKUP(C257,MATERIALES!$A:$F,6,0),"")</f>
        <v/>
      </c>
      <c r="F257" s="19">
        <f>IFERROR(VLOOKUP(C257,MATERIALES!$A:$I,9,0),0)</f>
        <v>0</v>
      </c>
      <c r="G257" s="17"/>
      <c r="H257" s="20">
        <f t="shared" si="3"/>
        <v>0</v>
      </c>
      <c r="I257" s="33"/>
    </row>
    <row r="258" spans="1:9">
      <c r="A258" s="17"/>
      <c r="B258" s="17"/>
      <c r="C258" s="17"/>
      <c r="D258" s="18" t="str">
        <f>IFERROR(VLOOKUP(C258,MATERIALES!$A:$B,2,0),"")</f>
        <v/>
      </c>
      <c r="E258" s="18" t="str">
        <f>IFERROR(VLOOKUP(C258,MATERIALES!$A:$F,6,0),"")</f>
        <v/>
      </c>
      <c r="F258" s="19">
        <f>IFERROR(VLOOKUP(C258,MATERIALES!$A:$I,9,0),0)</f>
        <v>0</v>
      </c>
      <c r="G258" s="17"/>
      <c r="H258" s="20">
        <f t="shared" si="3"/>
        <v>0</v>
      </c>
      <c r="I258" s="33"/>
    </row>
    <row r="259" spans="1:9">
      <c r="A259" s="17"/>
      <c r="B259" s="17"/>
      <c r="C259" s="17"/>
      <c r="D259" s="18" t="str">
        <f>IFERROR(VLOOKUP(C259,MATERIALES!$A:$B,2,0),"")</f>
        <v/>
      </c>
      <c r="E259" s="18" t="str">
        <f>IFERROR(VLOOKUP(C259,MATERIALES!$A:$F,6,0),"")</f>
        <v/>
      </c>
      <c r="F259" s="19">
        <f>IFERROR(VLOOKUP(C259,MATERIALES!$A:$I,9,0),0)</f>
        <v>0</v>
      </c>
      <c r="G259" s="17"/>
      <c r="H259" s="20">
        <f t="shared" si="3"/>
        <v>0</v>
      </c>
      <c r="I259" s="33"/>
    </row>
    <row r="260" spans="1:9">
      <c r="A260" s="17"/>
      <c r="B260" s="17"/>
      <c r="C260" s="17"/>
      <c r="D260" s="18" t="str">
        <f>IFERROR(VLOOKUP(C260,MATERIALES!$A:$B,2,0),"")</f>
        <v/>
      </c>
      <c r="E260" s="18" t="str">
        <f>IFERROR(VLOOKUP(C260,MATERIALES!$A:$F,6,0),"")</f>
        <v/>
      </c>
      <c r="F260" s="19">
        <f>IFERROR(VLOOKUP(C260,MATERIALES!$A:$I,9,0),0)</f>
        <v>0</v>
      </c>
      <c r="G260" s="17"/>
      <c r="H260" s="20">
        <f t="shared" si="3"/>
        <v>0</v>
      </c>
      <c r="I260" s="33"/>
    </row>
    <row r="261" spans="1:9">
      <c r="A261" s="17"/>
      <c r="B261" s="17"/>
      <c r="C261" s="17"/>
      <c r="D261" s="18" t="str">
        <f>IFERROR(VLOOKUP(C261,MATERIALES!$A:$B,2,0),"")</f>
        <v/>
      </c>
      <c r="E261" s="18" t="str">
        <f>IFERROR(VLOOKUP(C261,MATERIALES!$A:$F,6,0),"")</f>
        <v/>
      </c>
      <c r="F261" s="19">
        <f>IFERROR(VLOOKUP(C261,MATERIALES!$A:$I,9,0),0)</f>
        <v>0</v>
      </c>
      <c r="G261" s="17"/>
      <c r="H261" s="20">
        <f t="shared" ref="H261:H300" si="4">IFERROR(G261*F261,0)</f>
        <v>0</v>
      </c>
      <c r="I261" s="33"/>
    </row>
    <row r="262" spans="1:9">
      <c r="A262" s="17"/>
      <c r="B262" s="17"/>
      <c r="C262" s="17"/>
      <c r="D262" s="18" t="str">
        <f>IFERROR(VLOOKUP(C262,MATERIALES!$A:$B,2,0),"")</f>
        <v/>
      </c>
      <c r="E262" s="18" t="str">
        <f>IFERROR(VLOOKUP(C262,MATERIALES!$A:$F,6,0),"")</f>
        <v/>
      </c>
      <c r="F262" s="19">
        <f>IFERROR(VLOOKUP(C262,MATERIALES!$A:$I,9,0),0)</f>
        <v>0</v>
      </c>
      <c r="G262" s="17"/>
      <c r="H262" s="20">
        <f t="shared" si="4"/>
        <v>0</v>
      </c>
      <c r="I262" s="33"/>
    </row>
    <row r="263" spans="1:9">
      <c r="A263" s="17"/>
      <c r="B263" s="17"/>
      <c r="C263" s="17"/>
      <c r="D263" s="18" t="str">
        <f>IFERROR(VLOOKUP(C263,MATERIALES!$A:$B,2,0),"")</f>
        <v/>
      </c>
      <c r="E263" s="18" t="str">
        <f>IFERROR(VLOOKUP(C263,MATERIALES!$A:$F,6,0),"")</f>
        <v/>
      </c>
      <c r="F263" s="19">
        <f>IFERROR(VLOOKUP(C263,MATERIALES!$A:$I,9,0),0)</f>
        <v>0</v>
      </c>
      <c r="G263" s="17"/>
      <c r="H263" s="20">
        <f t="shared" si="4"/>
        <v>0</v>
      </c>
      <c r="I263" s="33"/>
    </row>
    <row r="264" spans="1:9">
      <c r="A264" s="17"/>
      <c r="B264" s="17"/>
      <c r="C264" s="17"/>
      <c r="D264" s="18" t="str">
        <f>IFERROR(VLOOKUP(C264,MATERIALES!$A:$B,2,0),"")</f>
        <v/>
      </c>
      <c r="E264" s="18" t="str">
        <f>IFERROR(VLOOKUP(C264,MATERIALES!$A:$F,6,0),"")</f>
        <v/>
      </c>
      <c r="F264" s="19">
        <f>IFERROR(VLOOKUP(C264,MATERIALES!$A:$I,9,0),0)</f>
        <v>0</v>
      </c>
      <c r="G264" s="17"/>
      <c r="H264" s="20">
        <f t="shared" si="4"/>
        <v>0</v>
      </c>
      <c r="I264" s="33"/>
    </row>
    <row r="265" spans="1:9">
      <c r="A265" s="17"/>
      <c r="B265" s="17"/>
      <c r="C265" s="17"/>
      <c r="D265" s="18" t="str">
        <f>IFERROR(VLOOKUP(C265,MATERIALES!$A:$B,2,0),"")</f>
        <v/>
      </c>
      <c r="E265" s="18" t="str">
        <f>IFERROR(VLOOKUP(C265,MATERIALES!$A:$F,6,0),"")</f>
        <v/>
      </c>
      <c r="F265" s="19">
        <f>IFERROR(VLOOKUP(C265,MATERIALES!$A:$I,9,0),0)</f>
        <v>0</v>
      </c>
      <c r="G265" s="17"/>
      <c r="H265" s="20">
        <f t="shared" si="4"/>
        <v>0</v>
      </c>
      <c r="I265" s="33"/>
    </row>
    <row r="266" spans="1:9">
      <c r="A266" s="17"/>
      <c r="B266" s="17"/>
      <c r="C266" s="17"/>
      <c r="D266" s="18" t="str">
        <f>IFERROR(VLOOKUP(C266,MATERIALES!$A:$B,2,0),"")</f>
        <v/>
      </c>
      <c r="E266" s="18" t="str">
        <f>IFERROR(VLOOKUP(C266,MATERIALES!$A:$F,6,0),"")</f>
        <v/>
      </c>
      <c r="F266" s="19">
        <f>IFERROR(VLOOKUP(C266,MATERIALES!$A:$I,9,0),0)</f>
        <v>0</v>
      </c>
      <c r="G266" s="17"/>
      <c r="H266" s="20">
        <f t="shared" si="4"/>
        <v>0</v>
      </c>
      <c r="I266" s="33"/>
    </row>
    <row r="267" spans="1:9">
      <c r="A267" s="17"/>
      <c r="B267" s="17"/>
      <c r="C267" s="17"/>
      <c r="D267" s="18" t="str">
        <f>IFERROR(VLOOKUP(C267,MATERIALES!$A:$B,2,0),"")</f>
        <v/>
      </c>
      <c r="E267" s="18" t="str">
        <f>IFERROR(VLOOKUP(C267,MATERIALES!$A:$F,6,0),"")</f>
        <v/>
      </c>
      <c r="F267" s="19">
        <f>IFERROR(VLOOKUP(C267,MATERIALES!$A:$I,9,0),0)</f>
        <v>0</v>
      </c>
      <c r="G267" s="17"/>
      <c r="H267" s="20">
        <f t="shared" si="4"/>
        <v>0</v>
      </c>
      <c r="I267" s="33"/>
    </row>
    <row r="268" spans="1:9">
      <c r="A268" s="17"/>
      <c r="B268" s="17"/>
      <c r="C268" s="17"/>
      <c r="D268" s="18" t="str">
        <f>IFERROR(VLOOKUP(C268,MATERIALES!$A:$B,2,0),"")</f>
        <v/>
      </c>
      <c r="E268" s="18" t="str">
        <f>IFERROR(VLOOKUP(C268,MATERIALES!$A:$F,6,0),"")</f>
        <v/>
      </c>
      <c r="F268" s="19">
        <f>IFERROR(VLOOKUP(C268,MATERIALES!$A:$I,9,0),0)</f>
        <v>0</v>
      </c>
      <c r="G268" s="17"/>
      <c r="H268" s="20">
        <f t="shared" si="4"/>
        <v>0</v>
      </c>
      <c r="I268" s="33"/>
    </row>
    <row r="269" spans="1:9">
      <c r="A269" s="17"/>
      <c r="B269" s="17"/>
      <c r="C269" s="17"/>
      <c r="D269" s="18" t="str">
        <f>IFERROR(VLOOKUP(C269,MATERIALES!$A:$B,2,0),"")</f>
        <v/>
      </c>
      <c r="E269" s="18" t="str">
        <f>IFERROR(VLOOKUP(C269,MATERIALES!$A:$F,6,0),"")</f>
        <v/>
      </c>
      <c r="F269" s="19">
        <f>IFERROR(VLOOKUP(C269,MATERIALES!$A:$I,9,0),0)</f>
        <v>0</v>
      </c>
      <c r="G269" s="17"/>
      <c r="H269" s="20">
        <f t="shared" si="4"/>
        <v>0</v>
      </c>
      <c r="I269" s="33"/>
    </row>
    <row r="270" spans="1:9">
      <c r="A270" s="17"/>
      <c r="B270" s="17"/>
      <c r="C270" s="17"/>
      <c r="D270" s="18" t="str">
        <f>IFERROR(VLOOKUP(C270,MATERIALES!$A:$B,2,0),"")</f>
        <v/>
      </c>
      <c r="E270" s="18" t="str">
        <f>IFERROR(VLOOKUP(C270,MATERIALES!$A:$F,6,0),"")</f>
        <v/>
      </c>
      <c r="F270" s="19">
        <f>IFERROR(VLOOKUP(C270,MATERIALES!$A:$I,9,0),0)</f>
        <v>0</v>
      </c>
      <c r="G270" s="17"/>
      <c r="H270" s="20">
        <f t="shared" si="4"/>
        <v>0</v>
      </c>
      <c r="I270" s="33"/>
    </row>
    <row r="271" spans="1:9">
      <c r="A271" s="17"/>
      <c r="B271" s="17"/>
      <c r="C271" s="17"/>
      <c r="D271" s="18" t="str">
        <f>IFERROR(VLOOKUP(C271,MATERIALES!$A:$B,2,0),"")</f>
        <v/>
      </c>
      <c r="E271" s="18" t="str">
        <f>IFERROR(VLOOKUP(C271,MATERIALES!$A:$F,6,0),"")</f>
        <v/>
      </c>
      <c r="F271" s="19">
        <f>IFERROR(VLOOKUP(C271,MATERIALES!$A:$I,9,0),0)</f>
        <v>0</v>
      </c>
      <c r="G271" s="17"/>
      <c r="H271" s="20">
        <f t="shared" si="4"/>
        <v>0</v>
      </c>
      <c r="I271" s="33"/>
    </row>
    <row r="272" spans="1:9">
      <c r="A272" s="17"/>
      <c r="B272" s="17"/>
      <c r="C272" s="17"/>
      <c r="D272" s="18" t="str">
        <f>IFERROR(VLOOKUP(C272,MATERIALES!$A:$B,2,0),"")</f>
        <v/>
      </c>
      <c r="E272" s="18" t="str">
        <f>IFERROR(VLOOKUP(C272,MATERIALES!$A:$F,6,0),"")</f>
        <v/>
      </c>
      <c r="F272" s="19">
        <f>IFERROR(VLOOKUP(C272,MATERIALES!$A:$I,9,0),0)</f>
        <v>0</v>
      </c>
      <c r="G272" s="17"/>
      <c r="H272" s="20">
        <f t="shared" si="4"/>
        <v>0</v>
      </c>
      <c r="I272" s="33"/>
    </row>
    <row r="273" spans="1:9">
      <c r="A273" s="17"/>
      <c r="B273" s="17"/>
      <c r="C273" s="17"/>
      <c r="D273" s="18" t="str">
        <f>IFERROR(VLOOKUP(C273,MATERIALES!$A:$B,2,0),"")</f>
        <v/>
      </c>
      <c r="E273" s="18" t="str">
        <f>IFERROR(VLOOKUP(C273,MATERIALES!$A:$F,6,0),"")</f>
        <v/>
      </c>
      <c r="F273" s="19">
        <f>IFERROR(VLOOKUP(C273,MATERIALES!$A:$I,9,0),0)</f>
        <v>0</v>
      </c>
      <c r="G273" s="17"/>
      <c r="H273" s="20">
        <f t="shared" si="4"/>
        <v>0</v>
      </c>
      <c r="I273" s="33"/>
    </row>
    <row r="274" spans="1:9">
      <c r="A274" s="17"/>
      <c r="B274" s="17"/>
      <c r="C274" s="17"/>
      <c r="D274" s="18" t="str">
        <f>IFERROR(VLOOKUP(C274,MATERIALES!$A:$B,2,0),"")</f>
        <v/>
      </c>
      <c r="E274" s="18" t="str">
        <f>IFERROR(VLOOKUP(C274,MATERIALES!$A:$F,6,0),"")</f>
        <v/>
      </c>
      <c r="F274" s="19">
        <f>IFERROR(VLOOKUP(C274,MATERIALES!$A:$I,9,0),0)</f>
        <v>0</v>
      </c>
      <c r="G274" s="17"/>
      <c r="H274" s="20">
        <f t="shared" si="4"/>
        <v>0</v>
      </c>
      <c r="I274" s="33"/>
    </row>
    <row r="275" spans="1:9">
      <c r="A275" s="17"/>
      <c r="B275" s="17"/>
      <c r="C275" s="17"/>
      <c r="D275" s="18" t="str">
        <f>IFERROR(VLOOKUP(C275,MATERIALES!$A:$B,2,0),"")</f>
        <v/>
      </c>
      <c r="E275" s="18" t="str">
        <f>IFERROR(VLOOKUP(C275,MATERIALES!$A:$F,6,0),"")</f>
        <v/>
      </c>
      <c r="F275" s="19">
        <f>IFERROR(VLOOKUP(C275,MATERIALES!$A:$I,9,0),0)</f>
        <v>0</v>
      </c>
      <c r="G275" s="17"/>
      <c r="H275" s="20">
        <f t="shared" si="4"/>
        <v>0</v>
      </c>
      <c r="I275" s="33"/>
    </row>
    <row r="276" spans="1:9">
      <c r="A276" s="17"/>
      <c r="B276" s="17"/>
      <c r="C276" s="17"/>
      <c r="D276" s="18" t="str">
        <f>IFERROR(VLOOKUP(C276,MATERIALES!$A:$B,2,0),"")</f>
        <v/>
      </c>
      <c r="E276" s="18" t="str">
        <f>IFERROR(VLOOKUP(C276,MATERIALES!$A:$F,6,0),"")</f>
        <v/>
      </c>
      <c r="F276" s="19">
        <f>IFERROR(VLOOKUP(C276,MATERIALES!$A:$I,9,0),0)</f>
        <v>0</v>
      </c>
      <c r="G276" s="17"/>
      <c r="H276" s="20">
        <f t="shared" si="4"/>
        <v>0</v>
      </c>
      <c r="I276" s="33"/>
    </row>
    <row r="277" spans="1:9">
      <c r="A277" s="17"/>
      <c r="B277" s="17"/>
      <c r="C277" s="17"/>
      <c r="D277" s="18" t="str">
        <f>IFERROR(VLOOKUP(C277,MATERIALES!$A:$B,2,0),"")</f>
        <v/>
      </c>
      <c r="E277" s="18" t="str">
        <f>IFERROR(VLOOKUP(C277,MATERIALES!$A:$F,6,0),"")</f>
        <v/>
      </c>
      <c r="F277" s="19">
        <f>IFERROR(VLOOKUP(C277,MATERIALES!$A:$I,9,0),0)</f>
        <v>0</v>
      </c>
      <c r="G277" s="17"/>
      <c r="H277" s="20">
        <f t="shared" si="4"/>
        <v>0</v>
      </c>
      <c r="I277" s="33"/>
    </row>
    <row r="278" spans="1:9">
      <c r="A278" s="17"/>
      <c r="B278" s="17"/>
      <c r="C278" s="17"/>
      <c r="D278" s="18" t="str">
        <f>IFERROR(VLOOKUP(C278,MATERIALES!$A:$B,2,0),"")</f>
        <v/>
      </c>
      <c r="E278" s="18" t="str">
        <f>IFERROR(VLOOKUP(C278,MATERIALES!$A:$F,6,0),"")</f>
        <v/>
      </c>
      <c r="F278" s="19">
        <f>IFERROR(VLOOKUP(C278,MATERIALES!$A:$I,9,0),0)</f>
        <v>0</v>
      </c>
      <c r="G278" s="17"/>
      <c r="H278" s="20">
        <f t="shared" si="4"/>
        <v>0</v>
      </c>
      <c r="I278" s="33"/>
    </row>
    <row r="279" spans="1:9">
      <c r="A279" s="17"/>
      <c r="B279" s="17"/>
      <c r="C279" s="17"/>
      <c r="D279" s="18" t="str">
        <f>IFERROR(VLOOKUP(C279,MATERIALES!$A:$B,2,0),"")</f>
        <v/>
      </c>
      <c r="E279" s="18" t="str">
        <f>IFERROR(VLOOKUP(C279,MATERIALES!$A:$F,6,0),"")</f>
        <v/>
      </c>
      <c r="F279" s="19">
        <f>IFERROR(VLOOKUP(C279,MATERIALES!$A:$I,9,0),0)</f>
        <v>0</v>
      </c>
      <c r="G279" s="17"/>
      <c r="H279" s="20">
        <f t="shared" si="4"/>
        <v>0</v>
      </c>
      <c r="I279" s="33"/>
    </row>
    <row r="280" spans="1:9">
      <c r="A280" s="17"/>
      <c r="B280" s="17"/>
      <c r="C280" s="17"/>
      <c r="D280" s="18" t="str">
        <f>IFERROR(VLOOKUP(C280,MATERIALES!$A:$B,2,0),"")</f>
        <v/>
      </c>
      <c r="E280" s="18" t="str">
        <f>IFERROR(VLOOKUP(C280,MATERIALES!$A:$F,6,0),"")</f>
        <v/>
      </c>
      <c r="F280" s="19">
        <f>IFERROR(VLOOKUP(C280,MATERIALES!$A:$I,9,0),0)</f>
        <v>0</v>
      </c>
      <c r="G280" s="17"/>
      <c r="H280" s="20">
        <f t="shared" si="4"/>
        <v>0</v>
      </c>
      <c r="I280" s="33"/>
    </row>
    <row r="281" spans="1:9">
      <c r="A281" s="17"/>
      <c r="B281" s="17"/>
      <c r="C281" s="17"/>
      <c r="D281" s="18" t="str">
        <f>IFERROR(VLOOKUP(C281,MATERIALES!$A:$B,2,0),"")</f>
        <v/>
      </c>
      <c r="E281" s="18" t="str">
        <f>IFERROR(VLOOKUP(C281,MATERIALES!$A:$F,6,0),"")</f>
        <v/>
      </c>
      <c r="F281" s="19">
        <f>IFERROR(VLOOKUP(C281,MATERIALES!$A:$I,9,0),0)</f>
        <v>0</v>
      </c>
      <c r="G281" s="17"/>
      <c r="H281" s="20">
        <f t="shared" si="4"/>
        <v>0</v>
      </c>
      <c r="I281" s="33"/>
    </row>
    <row r="282" spans="1:9">
      <c r="A282" s="17"/>
      <c r="B282" s="17"/>
      <c r="C282" s="17"/>
      <c r="D282" s="18" t="str">
        <f>IFERROR(VLOOKUP(C282,MATERIALES!$A:$B,2,0),"")</f>
        <v/>
      </c>
      <c r="E282" s="18" t="str">
        <f>IFERROR(VLOOKUP(C282,MATERIALES!$A:$F,6,0),"")</f>
        <v/>
      </c>
      <c r="F282" s="19">
        <f>IFERROR(VLOOKUP(C282,MATERIALES!$A:$I,9,0),0)</f>
        <v>0</v>
      </c>
      <c r="G282" s="17"/>
      <c r="H282" s="20">
        <f t="shared" si="4"/>
        <v>0</v>
      </c>
      <c r="I282" s="33"/>
    </row>
    <row r="283" spans="1:9">
      <c r="A283" s="17"/>
      <c r="B283" s="17"/>
      <c r="C283" s="17"/>
      <c r="D283" s="18" t="str">
        <f>IFERROR(VLOOKUP(C283,MATERIALES!$A:$B,2,0),"")</f>
        <v/>
      </c>
      <c r="E283" s="18" t="str">
        <f>IFERROR(VLOOKUP(C283,MATERIALES!$A:$F,6,0),"")</f>
        <v/>
      </c>
      <c r="F283" s="19">
        <f>IFERROR(VLOOKUP(C283,MATERIALES!$A:$I,9,0),0)</f>
        <v>0</v>
      </c>
      <c r="G283" s="17"/>
      <c r="H283" s="20">
        <f t="shared" si="4"/>
        <v>0</v>
      </c>
      <c r="I283" s="33"/>
    </row>
    <row r="284" spans="1:9">
      <c r="A284" s="17"/>
      <c r="B284" s="17"/>
      <c r="C284" s="17"/>
      <c r="D284" s="18" t="str">
        <f>IFERROR(VLOOKUP(C284,MATERIALES!$A:$B,2,0),"")</f>
        <v/>
      </c>
      <c r="E284" s="18" t="str">
        <f>IFERROR(VLOOKUP(C284,MATERIALES!$A:$F,6,0),"")</f>
        <v/>
      </c>
      <c r="F284" s="19">
        <f>IFERROR(VLOOKUP(C284,MATERIALES!$A:$I,9,0),0)</f>
        <v>0</v>
      </c>
      <c r="G284" s="17"/>
      <c r="H284" s="20">
        <f t="shared" si="4"/>
        <v>0</v>
      </c>
      <c r="I284" s="33"/>
    </row>
    <row r="285" spans="1:9">
      <c r="A285" s="17"/>
      <c r="B285" s="17"/>
      <c r="C285" s="17"/>
      <c r="D285" s="18" t="str">
        <f>IFERROR(VLOOKUP(C285,MATERIALES!$A:$B,2,0),"")</f>
        <v/>
      </c>
      <c r="E285" s="18" t="str">
        <f>IFERROR(VLOOKUP(C285,MATERIALES!$A:$F,6,0),"")</f>
        <v/>
      </c>
      <c r="F285" s="19">
        <f>IFERROR(VLOOKUP(C285,MATERIALES!$A:$I,9,0),0)</f>
        <v>0</v>
      </c>
      <c r="G285" s="17"/>
      <c r="H285" s="20">
        <f t="shared" si="4"/>
        <v>0</v>
      </c>
      <c r="I285" s="33"/>
    </row>
    <row r="286" spans="1:9">
      <c r="A286" s="17"/>
      <c r="B286" s="17"/>
      <c r="C286" s="17"/>
      <c r="D286" s="18" t="str">
        <f>IFERROR(VLOOKUP(C286,MATERIALES!$A:$B,2,0),"")</f>
        <v/>
      </c>
      <c r="E286" s="18" t="str">
        <f>IFERROR(VLOOKUP(C286,MATERIALES!$A:$F,6,0),"")</f>
        <v/>
      </c>
      <c r="F286" s="19">
        <f>IFERROR(VLOOKUP(C286,MATERIALES!$A:$I,9,0),0)</f>
        <v>0</v>
      </c>
      <c r="G286" s="17"/>
      <c r="H286" s="20">
        <f t="shared" si="4"/>
        <v>0</v>
      </c>
      <c r="I286" s="33"/>
    </row>
    <row r="287" spans="1:9">
      <c r="A287" s="17"/>
      <c r="B287" s="17"/>
      <c r="C287" s="17"/>
      <c r="D287" s="18" t="str">
        <f>IFERROR(VLOOKUP(C287,MATERIALES!$A:$B,2,0),"")</f>
        <v/>
      </c>
      <c r="E287" s="18" t="str">
        <f>IFERROR(VLOOKUP(C287,MATERIALES!$A:$F,6,0),"")</f>
        <v/>
      </c>
      <c r="F287" s="19">
        <f>IFERROR(VLOOKUP(C287,MATERIALES!$A:$I,9,0),0)</f>
        <v>0</v>
      </c>
      <c r="G287" s="17"/>
      <c r="H287" s="20">
        <f t="shared" si="4"/>
        <v>0</v>
      </c>
      <c r="I287" s="33"/>
    </row>
    <row r="288" spans="1:9">
      <c r="A288" s="17"/>
      <c r="B288" s="17"/>
      <c r="C288" s="17"/>
      <c r="D288" s="18" t="str">
        <f>IFERROR(VLOOKUP(C288,MATERIALES!$A:$B,2,0),"")</f>
        <v/>
      </c>
      <c r="E288" s="18" t="str">
        <f>IFERROR(VLOOKUP(C288,MATERIALES!$A:$F,6,0),"")</f>
        <v/>
      </c>
      <c r="F288" s="19">
        <f>IFERROR(VLOOKUP(C288,MATERIALES!$A:$I,9,0),0)</f>
        <v>0</v>
      </c>
      <c r="G288" s="17"/>
      <c r="H288" s="20">
        <f t="shared" si="4"/>
        <v>0</v>
      </c>
      <c r="I288" s="33"/>
    </row>
    <row r="289" spans="1:9">
      <c r="A289" s="17"/>
      <c r="B289" s="17"/>
      <c r="C289" s="17"/>
      <c r="D289" s="18" t="str">
        <f>IFERROR(VLOOKUP(C289,MATERIALES!$A:$B,2,0),"")</f>
        <v/>
      </c>
      <c r="E289" s="18" t="str">
        <f>IFERROR(VLOOKUP(C289,MATERIALES!$A:$F,6,0),"")</f>
        <v/>
      </c>
      <c r="F289" s="19">
        <f>IFERROR(VLOOKUP(C289,MATERIALES!$A:$I,9,0),0)</f>
        <v>0</v>
      </c>
      <c r="G289" s="17"/>
      <c r="H289" s="20">
        <f t="shared" si="4"/>
        <v>0</v>
      </c>
      <c r="I289" s="33"/>
    </row>
    <row r="290" spans="1:9">
      <c r="A290" s="17"/>
      <c r="B290" s="17"/>
      <c r="C290" s="17"/>
      <c r="D290" s="18" t="str">
        <f>IFERROR(VLOOKUP(C290,MATERIALES!$A:$B,2,0),"")</f>
        <v/>
      </c>
      <c r="E290" s="18" t="str">
        <f>IFERROR(VLOOKUP(C290,MATERIALES!$A:$F,6,0),"")</f>
        <v/>
      </c>
      <c r="F290" s="19">
        <f>IFERROR(VLOOKUP(C290,MATERIALES!$A:$I,9,0),0)</f>
        <v>0</v>
      </c>
      <c r="G290" s="17"/>
      <c r="H290" s="20">
        <f t="shared" si="4"/>
        <v>0</v>
      </c>
      <c r="I290" s="33"/>
    </row>
    <row r="291" spans="1:9">
      <c r="A291" s="17"/>
      <c r="B291" s="17"/>
      <c r="C291" s="17"/>
      <c r="D291" s="18" t="str">
        <f>IFERROR(VLOOKUP(C291,MATERIALES!$A:$B,2,0),"")</f>
        <v/>
      </c>
      <c r="E291" s="18" t="str">
        <f>IFERROR(VLOOKUP(C291,MATERIALES!$A:$F,6,0),"")</f>
        <v/>
      </c>
      <c r="F291" s="19">
        <f>IFERROR(VLOOKUP(C291,MATERIALES!$A:$I,9,0),0)</f>
        <v>0</v>
      </c>
      <c r="G291" s="17"/>
      <c r="H291" s="20">
        <f t="shared" si="4"/>
        <v>0</v>
      </c>
      <c r="I291" s="33"/>
    </row>
    <row r="292" spans="1:9">
      <c r="A292" s="17"/>
      <c r="B292" s="17"/>
      <c r="C292" s="17"/>
      <c r="D292" s="18" t="str">
        <f>IFERROR(VLOOKUP(C292,MATERIALES!$A:$B,2,0),"")</f>
        <v/>
      </c>
      <c r="E292" s="18" t="str">
        <f>IFERROR(VLOOKUP(C292,MATERIALES!$A:$F,6,0),"")</f>
        <v/>
      </c>
      <c r="F292" s="19">
        <f>IFERROR(VLOOKUP(C292,MATERIALES!$A:$I,9,0),0)</f>
        <v>0</v>
      </c>
      <c r="G292" s="17"/>
      <c r="H292" s="20">
        <f t="shared" si="4"/>
        <v>0</v>
      </c>
      <c r="I292" s="33"/>
    </row>
    <row r="293" spans="1:9">
      <c r="A293" s="17"/>
      <c r="B293" s="17"/>
      <c r="C293" s="17"/>
      <c r="D293" s="18" t="str">
        <f>IFERROR(VLOOKUP(C293,MATERIALES!$A:$B,2,0),"")</f>
        <v/>
      </c>
      <c r="E293" s="18" t="str">
        <f>IFERROR(VLOOKUP(C293,MATERIALES!$A:$F,6,0),"")</f>
        <v/>
      </c>
      <c r="F293" s="19">
        <f>IFERROR(VLOOKUP(C293,MATERIALES!$A:$I,9,0),0)</f>
        <v>0</v>
      </c>
      <c r="G293" s="17"/>
      <c r="H293" s="20">
        <f t="shared" si="4"/>
        <v>0</v>
      </c>
      <c r="I293" s="33"/>
    </row>
    <row r="294" spans="1:9">
      <c r="A294" s="17"/>
      <c r="B294" s="17"/>
      <c r="C294" s="17"/>
      <c r="D294" s="18" t="str">
        <f>IFERROR(VLOOKUP(C294,MATERIALES!$A:$B,2,0),"")</f>
        <v/>
      </c>
      <c r="E294" s="18" t="str">
        <f>IFERROR(VLOOKUP(C294,MATERIALES!$A:$F,6,0),"")</f>
        <v/>
      </c>
      <c r="F294" s="19">
        <f>IFERROR(VLOOKUP(C294,MATERIALES!$A:$I,9,0),0)</f>
        <v>0</v>
      </c>
      <c r="G294" s="17"/>
      <c r="H294" s="20">
        <f t="shared" si="4"/>
        <v>0</v>
      </c>
      <c r="I294" s="33"/>
    </row>
    <row r="295" spans="1:9">
      <c r="A295" s="17"/>
      <c r="B295" s="17"/>
      <c r="C295" s="17"/>
      <c r="D295" s="18" t="str">
        <f>IFERROR(VLOOKUP(C295,MATERIALES!$A:$B,2,0),"")</f>
        <v/>
      </c>
      <c r="E295" s="18" t="str">
        <f>IFERROR(VLOOKUP(C295,MATERIALES!$A:$F,6,0),"")</f>
        <v/>
      </c>
      <c r="F295" s="19">
        <f>IFERROR(VLOOKUP(C295,MATERIALES!$A:$I,9,0),0)</f>
        <v>0</v>
      </c>
      <c r="G295" s="17"/>
      <c r="H295" s="20">
        <f t="shared" si="4"/>
        <v>0</v>
      </c>
      <c r="I295" s="33"/>
    </row>
    <row r="296" spans="1:9">
      <c r="A296" s="17"/>
      <c r="B296" s="17"/>
      <c r="C296" s="17"/>
      <c r="D296" s="18" t="str">
        <f>IFERROR(VLOOKUP(C296,MATERIALES!$A:$B,2,0),"")</f>
        <v/>
      </c>
      <c r="E296" s="18" t="str">
        <f>IFERROR(VLOOKUP(C296,MATERIALES!$A:$F,6,0),"")</f>
        <v/>
      </c>
      <c r="F296" s="19">
        <f>IFERROR(VLOOKUP(C296,MATERIALES!$A:$I,9,0),0)</f>
        <v>0</v>
      </c>
      <c r="G296" s="17"/>
      <c r="H296" s="20">
        <f t="shared" si="4"/>
        <v>0</v>
      </c>
      <c r="I296" s="33"/>
    </row>
    <row r="297" spans="1:9">
      <c r="A297" s="17"/>
      <c r="B297" s="17"/>
      <c r="C297" s="17"/>
      <c r="D297" s="18" t="str">
        <f>IFERROR(VLOOKUP(C297,MATERIALES!$A:$B,2,0),"")</f>
        <v/>
      </c>
      <c r="E297" s="18" t="str">
        <f>IFERROR(VLOOKUP(C297,MATERIALES!$A:$F,6,0),"")</f>
        <v/>
      </c>
      <c r="F297" s="19">
        <f>IFERROR(VLOOKUP(C297,MATERIALES!$A:$I,9,0),0)</f>
        <v>0</v>
      </c>
      <c r="G297" s="17"/>
      <c r="H297" s="20">
        <f t="shared" si="4"/>
        <v>0</v>
      </c>
      <c r="I297" s="33"/>
    </row>
    <row r="298" spans="1:9">
      <c r="A298" s="17"/>
      <c r="B298" s="17"/>
      <c r="C298" s="17"/>
      <c r="D298" s="18" t="str">
        <f>IFERROR(VLOOKUP(C298,MATERIALES!$A:$B,2,0),"")</f>
        <v/>
      </c>
      <c r="E298" s="18" t="str">
        <f>IFERROR(VLOOKUP(C298,MATERIALES!$A:$F,6,0),"")</f>
        <v/>
      </c>
      <c r="F298" s="19">
        <f>IFERROR(VLOOKUP(C298,MATERIALES!$A:$I,9,0),0)</f>
        <v>0</v>
      </c>
      <c r="G298" s="17"/>
      <c r="H298" s="20">
        <f t="shared" si="4"/>
        <v>0</v>
      </c>
      <c r="I298" s="33"/>
    </row>
    <row r="299" spans="1:9">
      <c r="A299" s="17"/>
      <c r="B299" s="17"/>
      <c r="C299" s="17"/>
      <c r="D299" s="18" t="str">
        <f>IFERROR(VLOOKUP(C299,MATERIALES!$A:$B,2,0),"")</f>
        <v/>
      </c>
      <c r="E299" s="18" t="str">
        <f>IFERROR(VLOOKUP(C299,MATERIALES!$A:$F,6,0),"")</f>
        <v/>
      </c>
      <c r="F299" s="19">
        <f>IFERROR(VLOOKUP(C299,MATERIALES!$A:$I,9,0),0)</f>
        <v>0</v>
      </c>
      <c r="G299" s="17"/>
      <c r="H299" s="20">
        <f t="shared" si="4"/>
        <v>0</v>
      </c>
      <c r="I299" s="33"/>
    </row>
    <row r="300" spans="1:9">
      <c r="A300" s="17"/>
      <c r="B300" s="17"/>
      <c r="C300" s="17"/>
      <c r="D300" s="18" t="str">
        <f>IFERROR(VLOOKUP(C300,MATERIALES!$A:$B,2,0),"")</f>
        <v/>
      </c>
      <c r="E300" s="18" t="str">
        <f>IFERROR(VLOOKUP(C300,MATERIALES!$A:$F,6,0),"")</f>
        <v/>
      </c>
      <c r="F300" s="19">
        <f>IFERROR(VLOOKUP(C300,MATERIALES!$A:$I,9,0),0)</f>
        <v>0</v>
      </c>
      <c r="G300" s="17"/>
      <c r="H300" s="20">
        <f t="shared" si="4"/>
        <v>0</v>
      </c>
      <c r="I300" s="33"/>
    </row>
  </sheetData>
  <sheetProtection password="840F" sheet="1" insertRows="0" sort="0" autoFilter="0"/>
  <mergeCells count="1">
    <mergeCell ref="E1:G1"/>
  </mergeCells>
  <dataValidations count="2">
    <dataValidation type="list" showErrorMessage="1" error="Selecciona una opcion de la lista" sqref="B5:B500">
      <formula1>PRODUCTOS!$B$5:$B$100</formula1>
    </dataValidation>
    <dataValidation type="list" showErrorMessage="1" error="Selecciona una opcion de la lista" sqref="C5:C500">
      <formula1>MATERIALES!$A$5:$A$100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28B22"/>
  </sheetPr>
  <dimension ref="A1:AW300"/>
  <sheetViews>
    <sheetView workbookViewId="0">
      <pane ySplit="4" topLeftCell="A5" activePane="bottomLeft" state="frozen"/>
      <selection/>
      <selection pane="bottomLeft" activeCell="E1" sqref="E1:G1"/>
    </sheetView>
  </sheetViews>
  <sheetFormatPr defaultColWidth="9" defaultRowHeight="15"/>
  <cols>
    <col min="1" max="1" width="8" customWidth="1"/>
    <col min="2" max="2" width="28" customWidth="1"/>
    <col min="3" max="3" width="22" customWidth="1"/>
    <col min="4" max="4" width="12" customWidth="1"/>
    <col min="5" max="5" width="14" customWidth="1"/>
    <col min="6" max="9" width="8" customWidth="1"/>
    <col min="10" max="10" width="10" customWidth="1"/>
    <col min="11" max="11" width="11" customWidth="1"/>
    <col min="12" max="12" width="12" customWidth="1"/>
    <col min="13" max="13" width="8" customWidth="1"/>
    <col min="14" max="14" width="11" customWidth="1"/>
    <col min="15" max="19" width="13" customWidth="1"/>
    <col min="20" max="20" width="10" customWidth="1"/>
    <col min="21" max="21" width="14" customWidth="1"/>
    <col min="22" max="22" width="20" hidden="1" customWidth="1"/>
    <col min="23" max="40" width="9.14285714285714" hidden="1" customWidth="1"/>
    <col min="48" max="48" width="9.14285714285714" hidden="1" customWidth="1"/>
    <col min="49" max="49" width="8.42857142857143" hidden="1" customWidth="1"/>
  </cols>
  <sheetData>
    <row r="1" ht="22" customHeight="1" spans="1:49">
      <c r="A1" s="4" t="s">
        <v>216</v>
      </c>
      <c r="B1" s="5"/>
      <c r="C1" s="5"/>
      <c r="D1" s="5"/>
      <c r="E1" s="6" t="str">
        <f>HYPERLINK("#DASHBOARD!A1","Volver al Menu Principal")</f>
        <v>Volver al Menu Principal</v>
      </c>
      <c r="F1" s="7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8"/>
      <c r="T1" s="7"/>
      <c r="U1" s="7"/>
      <c r="V1" s="6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W1" s="32"/>
    </row>
    <row r="2" ht="20" customHeight="1" spans="1:47">
      <c r="A2" s="38" t="s">
        <v>103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</row>
    <row r="3" ht="20" customHeight="1" spans="1:47">
      <c r="A3" s="40" t="s">
        <v>217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</row>
    <row r="4" ht="38" customHeight="1" spans="1:47">
      <c r="A4" s="13" t="s">
        <v>218</v>
      </c>
      <c r="B4" s="13" t="s">
        <v>158</v>
      </c>
      <c r="C4" s="13" t="s">
        <v>31</v>
      </c>
      <c r="D4" s="14" t="s">
        <v>219</v>
      </c>
      <c r="E4" s="15" t="s">
        <v>220</v>
      </c>
      <c r="F4" s="14" t="s">
        <v>221</v>
      </c>
      <c r="G4" s="14" t="s">
        <v>222</v>
      </c>
      <c r="H4" s="14" t="s">
        <v>223</v>
      </c>
      <c r="I4" s="14" t="s">
        <v>224</v>
      </c>
      <c r="J4" s="15" t="s">
        <v>225</v>
      </c>
      <c r="K4" s="15" t="s">
        <v>226</v>
      </c>
      <c r="L4" s="15" t="s">
        <v>227</v>
      </c>
      <c r="M4" s="15" t="s">
        <v>228</v>
      </c>
      <c r="N4" s="15" t="s">
        <v>229</v>
      </c>
      <c r="AO4" s="15" t="s">
        <v>111</v>
      </c>
      <c r="AP4" s="44" t="s">
        <v>230</v>
      </c>
      <c r="AQ4" s="44" t="s">
        <v>231</v>
      </c>
      <c r="AR4" s="44" t="s">
        <v>232</v>
      </c>
      <c r="AS4" s="14" t="s">
        <v>233</v>
      </c>
      <c r="AT4" s="15" t="s">
        <v>234</v>
      </c>
      <c r="AU4" s="45" t="s">
        <v>235</v>
      </c>
    </row>
    <row r="5" ht="18" customHeight="1" spans="1:47">
      <c r="A5" s="17" t="s">
        <v>236</v>
      </c>
      <c r="B5" s="17" t="s">
        <v>164</v>
      </c>
      <c r="C5" s="17" t="s">
        <v>237</v>
      </c>
      <c r="D5" s="17" t="s">
        <v>60</v>
      </c>
      <c r="E5" s="20">
        <f>IFERROR(SUMIF(RECETAS!$B:$B,B5,RECETAS!$H:$H),0)</f>
        <v>212.5</v>
      </c>
      <c r="F5" s="17">
        <v>5</v>
      </c>
      <c r="G5" s="17">
        <v>5</v>
      </c>
      <c r="H5" s="17">
        <v>0</v>
      </c>
      <c r="I5" s="17">
        <v>5</v>
      </c>
      <c r="J5" s="18">
        <f t="shared" ref="J5:J68" si="0">F5+G5+H5+I5</f>
        <v>15</v>
      </c>
      <c r="K5" s="20">
        <f>IFERROR(CONFIGURACION!$B$5,0)</f>
        <v>4000</v>
      </c>
      <c r="L5" s="20">
        <f t="shared" ref="L5:L68" si="1">IFERROR(J5*K5/60,0)</f>
        <v>1000</v>
      </c>
      <c r="M5" s="42">
        <f>IFERROR(CONFIGURACION!$B$9,0)</f>
        <v>0.15</v>
      </c>
      <c r="N5" s="20">
        <f t="shared" ref="N5:N68" si="2">IFERROR((E5+L5)*M5,0)</f>
        <v>181.875</v>
      </c>
      <c r="O5" s="26">
        <f t="shared" ref="O5:O14" si="3">IFERROR(E5+L5+N5,0)</f>
        <v>1394.375</v>
      </c>
      <c r="P5" s="20">
        <f>IFERROR(ROUNDUP(O5/(1-CONFIGURACION!$B$6),0),0)</f>
        <v>1992</v>
      </c>
      <c r="Q5" s="26">
        <f>IFERROR(ROUNDUP(O5/(1-CONFIGURACION!$B$7),0),0)</f>
        <v>3099</v>
      </c>
      <c r="R5" s="20">
        <f>IFERROR(ROUNDUP(O5/(1-CONFIGURACION!$B$8),0),0)</f>
        <v>4648</v>
      </c>
      <c r="S5" s="43">
        <v>6500</v>
      </c>
      <c r="T5" s="30">
        <f t="shared" ref="T5:T14" si="4">IF(S5&gt;0,(S5-O5)/S5,0)</f>
        <v>0.785480769230769</v>
      </c>
      <c r="U5" s="18" t="str">
        <f>IF(S5=0,"SIN PRECIO",IF(T5&lt;CONFIGURACION!$B$6,"BAJO COSTO",IF(T5&lt;CONFIGURACION!$B$7,"REVISAR","OK")))</f>
        <v>OK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6">
        <f t="shared" ref="AO5:AO68" si="5">IFERROR(E5+L5+N5,0)</f>
        <v>1394.375</v>
      </c>
      <c r="AP5" s="20">
        <f>IFERROR(ROUNDUP(O5/(1-CONFIGURACION!$B$6),0),0)</f>
        <v>1992</v>
      </c>
      <c r="AQ5" s="26">
        <f>IFERROR(ROUNDUP(O5/(1-CONFIGURACION!$B$7),0),0)</f>
        <v>3099</v>
      </c>
      <c r="AR5" s="20">
        <f>IFERROR(ROUNDUP(O5/(1-CONFIGURACION!$B$8),0),0)</f>
        <v>4648</v>
      </c>
      <c r="AS5" s="43">
        <v>6500</v>
      </c>
      <c r="AT5" s="30">
        <f t="shared" ref="AT5:AT68" si="6">IF(S5&gt;0,(S5-O5)/S5,0)</f>
        <v>0.785480769230769</v>
      </c>
      <c r="AU5" s="18"/>
    </row>
    <row r="6" ht="18" customHeight="1" spans="1:47">
      <c r="A6" s="17" t="s">
        <v>238</v>
      </c>
      <c r="B6" s="17" t="s">
        <v>239</v>
      </c>
      <c r="C6" s="17" t="s">
        <v>240</v>
      </c>
      <c r="D6" s="17" t="s">
        <v>60</v>
      </c>
      <c r="E6" s="20">
        <f>IFERROR(SUMIF(RECETAS!$B:$B,B6,RECETAS!$H:$H),0)</f>
        <v>0</v>
      </c>
      <c r="F6" s="17">
        <v>8</v>
      </c>
      <c r="G6" s="17">
        <v>8</v>
      </c>
      <c r="H6" s="17">
        <v>0</v>
      </c>
      <c r="I6" s="17">
        <v>10</v>
      </c>
      <c r="J6" s="18">
        <f t="shared" si="0"/>
        <v>26</v>
      </c>
      <c r="K6" s="20">
        <f>IFERROR(CONFIGURACION!$B$5,0)</f>
        <v>4000</v>
      </c>
      <c r="L6" s="20">
        <f t="shared" si="1"/>
        <v>1733.33333333333</v>
      </c>
      <c r="M6" s="42">
        <f>IFERROR(CONFIGURACION!$B$9,0)</f>
        <v>0.15</v>
      </c>
      <c r="N6" s="20">
        <f t="shared" si="2"/>
        <v>260</v>
      </c>
      <c r="O6" s="26">
        <f t="shared" si="3"/>
        <v>1993.33333333333</v>
      </c>
      <c r="P6" s="20">
        <f>IFERROR(ROUNDUP(O6/(1-CONFIGURACION!$B$6),0),0)</f>
        <v>2848</v>
      </c>
      <c r="Q6" s="26">
        <f>IFERROR(ROUNDUP(O6/(1-CONFIGURACION!$B$7),0),0)</f>
        <v>4430</v>
      </c>
      <c r="R6" s="20">
        <f>IFERROR(ROUNDUP(O6/(1-CONFIGURACION!$B$8),0),0)</f>
        <v>6645</v>
      </c>
      <c r="S6" s="43">
        <v>22500</v>
      </c>
      <c r="T6" s="30">
        <f t="shared" si="4"/>
        <v>0.911407407407407</v>
      </c>
      <c r="U6" s="18" t="str">
        <f>IF(S6=0,"SIN PRECIO",IF(T6&lt;CONFIGURACION!$B$6,"BAJO COSTO",IF(T6&lt;CONFIGURACION!$B$7,"REVISAR","OK")))</f>
        <v>OK</v>
      </c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6">
        <f t="shared" si="5"/>
        <v>1993.33333333333</v>
      </c>
      <c r="AP6" s="20">
        <f>IFERROR(ROUNDUP(O6/(1-CONFIGURACION!$B$6),0),0)</f>
        <v>2848</v>
      </c>
      <c r="AQ6" s="26">
        <f>IFERROR(ROUNDUP(O6/(1-CONFIGURACION!$B$7),0),0)</f>
        <v>4430</v>
      </c>
      <c r="AR6" s="20">
        <f>IFERROR(ROUNDUP(O6/(1-CONFIGURACION!$B$8),0),0)</f>
        <v>6645</v>
      </c>
      <c r="AS6" s="43">
        <v>22500</v>
      </c>
      <c r="AT6" s="30">
        <f t="shared" si="6"/>
        <v>0.911407407407407</v>
      </c>
      <c r="AU6" s="18"/>
    </row>
    <row r="7" ht="18" customHeight="1" spans="1:47">
      <c r="A7" s="17" t="s">
        <v>241</v>
      </c>
      <c r="B7" s="17" t="s">
        <v>173</v>
      </c>
      <c r="C7" s="17" t="s">
        <v>242</v>
      </c>
      <c r="D7" s="17" t="s">
        <v>86</v>
      </c>
      <c r="E7" s="20">
        <f>IFERROR(SUMIF(RECETAS!$B:$B,B7,RECETAS!$H:$H),0)</f>
        <v>717.5</v>
      </c>
      <c r="F7" s="17">
        <v>10</v>
      </c>
      <c r="G7" s="17">
        <v>10</v>
      </c>
      <c r="H7" s="17">
        <v>5</v>
      </c>
      <c r="I7" s="17">
        <v>2</v>
      </c>
      <c r="J7" s="18">
        <f t="shared" si="0"/>
        <v>27</v>
      </c>
      <c r="K7" s="20">
        <f>IFERROR(CONFIGURACION!$B$5,0)</f>
        <v>4000</v>
      </c>
      <c r="L7" s="20">
        <f t="shared" si="1"/>
        <v>1800</v>
      </c>
      <c r="M7" s="42">
        <f>IFERROR(CONFIGURACION!$B$9,0)</f>
        <v>0.15</v>
      </c>
      <c r="N7" s="20">
        <f t="shared" si="2"/>
        <v>377.625</v>
      </c>
      <c r="O7" s="26">
        <f t="shared" si="3"/>
        <v>2895.125</v>
      </c>
      <c r="P7" s="20">
        <f>IFERROR(ROUNDUP(O7/(1-CONFIGURACION!$B$6),0),0)</f>
        <v>4136</v>
      </c>
      <c r="Q7" s="26">
        <f>IFERROR(ROUNDUP(O7/(1-CONFIGURACION!$B$7),0),0)</f>
        <v>6434</v>
      </c>
      <c r="R7" s="20">
        <f>IFERROR(ROUNDUP(O7/(1-CONFIGURACION!$B$8),0),0)</f>
        <v>9651</v>
      </c>
      <c r="S7" s="43">
        <v>12500</v>
      </c>
      <c r="T7" s="30">
        <f t="shared" si="4"/>
        <v>0.76839</v>
      </c>
      <c r="U7" s="18" t="str">
        <f>IF(S7=0,"SIN PRECIO",IF(T7&lt;CONFIGURACION!$B$6,"BAJO COSTO",IF(T7&lt;CONFIGURACION!$B$7,"REVISAR","OK")))</f>
        <v>OK</v>
      </c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6">
        <f t="shared" si="5"/>
        <v>2895.125</v>
      </c>
      <c r="AP7" s="20">
        <f>IFERROR(ROUNDUP(O7/(1-CONFIGURACION!$B$6),0),0)</f>
        <v>4136</v>
      </c>
      <c r="AQ7" s="26">
        <f>IFERROR(ROUNDUP(O7/(1-CONFIGURACION!$B$7),0),0)</f>
        <v>6434</v>
      </c>
      <c r="AR7" s="20">
        <f>IFERROR(ROUNDUP(O7/(1-CONFIGURACION!$B$8),0),0)</f>
        <v>9651</v>
      </c>
      <c r="AS7" s="43">
        <v>12500</v>
      </c>
      <c r="AT7" s="30">
        <f t="shared" si="6"/>
        <v>0.76839</v>
      </c>
      <c r="AU7" s="18"/>
    </row>
    <row r="8" ht="18" customHeight="1" spans="1:47">
      <c r="A8" s="17" t="s">
        <v>243</v>
      </c>
      <c r="B8" s="17" t="s">
        <v>205</v>
      </c>
      <c r="C8" s="17" t="s">
        <v>244</v>
      </c>
      <c r="D8" s="17" t="s">
        <v>60</v>
      </c>
      <c r="E8" s="20">
        <f>IFERROR(SUMIF(RECETAS!$B:$B,B8,RECETAS!$H:$H),0)</f>
        <v>84</v>
      </c>
      <c r="F8" s="17">
        <v>3</v>
      </c>
      <c r="G8" s="17">
        <v>3</v>
      </c>
      <c r="H8" s="17">
        <v>0</v>
      </c>
      <c r="I8" s="17">
        <v>0</v>
      </c>
      <c r="J8" s="18">
        <f t="shared" si="0"/>
        <v>6</v>
      </c>
      <c r="K8" s="20">
        <f>IFERROR(CONFIGURACION!$B$5,0)</f>
        <v>4000</v>
      </c>
      <c r="L8" s="20">
        <f t="shared" si="1"/>
        <v>400</v>
      </c>
      <c r="M8" s="42">
        <f>IFERROR(CONFIGURACION!$B$9,0)</f>
        <v>0.15</v>
      </c>
      <c r="N8" s="20">
        <f t="shared" si="2"/>
        <v>72.6</v>
      </c>
      <c r="O8" s="26">
        <f t="shared" si="3"/>
        <v>556.6</v>
      </c>
      <c r="P8" s="20">
        <f>IFERROR(ROUNDUP(O8/(1-CONFIGURACION!$B$6),0),0)</f>
        <v>796</v>
      </c>
      <c r="Q8" s="26">
        <f>IFERROR(ROUNDUP(O8/(1-CONFIGURACION!$B$7),0),0)</f>
        <v>1237</v>
      </c>
      <c r="R8" s="20">
        <f>IFERROR(ROUNDUP(O8/(1-CONFIGURACION!$B$8),0),0)</f>
        <v>1856</v>
      </c>
      <c r="S8" s="43">
        <v>350</v>
      </c>
      <c r="T8" s="30">
        <f t="shared" si="4"/>
        <v>-0.590285714285714</v>
      </c>
      <c r="U8" s="18" t="str">
        <f>IF(S8=0,"SIN PRECIO",IF(T8&lt;CONFIGURACION!$B$6,"BAJO COSTO",IF(T8&lt;CONFIGURACION!$B$7,"REVISAR","OK")))</f>
        <v>BAJO COSTO</v>
      </c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6">
        <f t="shared" si="5"/>
        <v>556.6</v>
      </c>
      <c r="AP8" s="20">
        <f>IFERROR(ROUNDUP(O8/(1-CONFIGURACION!$B$6),0),0)</f>
        <v>796</v>
      </c>
      <c r="AQ8" s="26">
        <f>IFERROR(ROUNDUP(O8/(1-CONFIGURACION!$B$7),0),0)</f>
        <v>1237</v>
      </c>
      <c r="AR8" s="20">
        <f>IFERROR(ROUNDUP(O8/(1-CONFIGURACION!$B$8),0),0)</f>
        <v>1856</v>
      </c>
      <c r="AS8" s="43">
        <v>350</v>
      </c>
      <c r="AT8" s="30">
        <f t="shared" si="6"/>
        <v>-0.590285714285714</v>
      </c>
      <c r="AU8" s="18"/>
    </row>
    <row r="9" ht="18" customHeight="1" spans="1:47">
      <c r="A9" s="17" t="s">
        <v>245</v>
      </c>
      <c r="B9" s="17" t="s">
        <v>200</v>
      </c>
      <c r="C9" s="17" t="s">
        <v>246</v>
      </c>
      <c r="D9" s="17" t="s">
        <v>73</v>
      </c>
      <c r="E9" s="20">
        <f>IFERROR(SUMIF(RECETAS!$B:$B,B9,RECETAS!$H:$H),0)</f>
        <v>386.25</v>
      </c>
      <c r="F9" s="17">
        <v>5</v>
      </c>
      <c r="G9" s="17">
        <v>5</v>
      </c>
      <c r="H9" s="17">
        <v>5</v>
      </c>
      <c r="I9" s="17">
        <v>0</v>
      </c>
      <c r="J9" s="18">
        <f t="shared" si="0"/>
        <v>15</v>
      </c>
      <c r="K9" s="20">
        <f>IFERROR(CONFIGURACION!$B$5,0)</f>
        <v>4000</v>
      </c>
      <c r="L9" s="20">
        <f t="shared" si="1"/>
        <v>1000</v>
      </c>
      <c r="M9" s="42">
        <f>IFERROR(CONFIGURACION!$B$9,0)</f>
        <v>0.15</v>
      </c>
      <c r="N9" s="20">
        <f t="shared" si="2"/>
        <v>207.9375</v>
      </c>
      <c r="O9" s="26">
        <f t="shared" si="3"/>
        <v>1594.1875</v>
      </c>
      <c r="P9" s="20">
        <f>IFERROR(ROUNDUP(O9/(1-CONFIGURACION!$B$6),0),0)</f>
        <v>2278</v>
      </c>
      <c r="Q9" s="26">
        <f>IFERROR(ROUNDUP(O9/(1-CONFIGURACION!$B$7),0),0)</f>
        <v>3543</v>
      </c>
      <c r="R9" s="20">
        <f>IFERROR(ROUNDUP(O9/(1-CONFIGURACION!$B$8),0),0)</f>
        <v>5314</v>
      </c>
      <c r="S9" s="43">
        <v>5500</v>
      </c>
      <c r="T9" s="30">
        <f t="shared" si="4"/>
        <v>0.710147727272727</v>
      </c>
      <c r="U9" s="18" t="str">
        <f>IF(S9=0,"SIN PRECIO",IF(T9&lt;CONFIGURACION!$B$6,"BAJO COSTO",IF(T9&lt;CONFIGURACION!$B$7,"REVISAR","OK")))</f>
        <v>OK</v>
      </c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6">
        <f t="shared" si="5"/>
        <v>1594.1875</v>
      </c>
      <c r="AP9" s="20">
        <f>IFERROR(ROUNDUP(O9/(1-CONFIGURACION!$B$6),0),0)</f>
        <v>2278</v>
      </c>
      <c r="AQ9" s="26">
        <f>IFERROR(ROUNDUP(O9/(1-CONFIGURACION!$B$7),0),0)</f>
        <v>3543</v>
      </c>
      <c r="AR9" s="20">
        <f>IFERROR(ROUNDUP(O9/(1-CONFIGURACION!$B$8),0),0)</f>
        <v>5314</v>
      </c>
      <c r="AS9" s="43">
        <v>5500</v>
      </c>
      <c r="AT9" s="30">
        <f t="shared" si="6"/>
        <v>0.710147727272727</v>
      </c>
      <c r="AU9" s="18"/>
    </row>
    <row r="10" ht="18" customHeight="1" spans="1:47">
      <c r="A10" s="17" t="s">
        <v>247</v>
      </c>
      <c r="B10" s="17" t="s">
        <v>183</v>
      </c>
      <c r="C10" s="17" t="s">
        <v>248</v>
      </c>
      <c r="D10" s="17" t="s">
        <v>73</v>
      </c>
      <c r="E10" s="20">
        <f>IFERROR(SUMIF(RECETAS!$B:$B,B10,RECETAS!$H:$H),0)</f>
        <v>435</v>
      </c>
      <c r="F10" s="17">
        <v>5</v>
      </c>
      <c r="G10" s="17">
        <v>5</v>
      </c>
      <c r="H10" s="17">
        <v>5</v>
      </c>
      <c r="I10" s="17">
        <v>0</v>
      </c>
      <c r="J10" s="18">
        <f t="shared" si="0"/>
        <v>15</v>
      </c>
      <c r="K10" s="20">
        <f>IFERROR(CONFIGURACION!$B$5,0)</f>
        <v>4000</v>
      </c>
      <c r="L10" s="20">
        <f t="shared" si="1"/>
        <v>1000</v>
      </c>
      <c r="M10" s="42">
        <f>IFERROR(CONFIGURACION!$B$9,0)</f>
        <v>0.15</v>
      </c>
      <c r="N10" s="20">
        <f t="shared" si="2"/>
        <v>215.25</v>
      </c>
      <c r="O10" s="26">
        <f t="shared" si="3"/>
        <v>1650.25</v>
      </c>
      <c r="P10" s="20">
        <f>IFERROR(ROUNDUP(O10/(1-CONFIGURACION!$B$6),0),0)</f>
        <v>2358</v>
      </c>
      <c r="Q10" s="26">
        <f>IFERROR(ROUNDUP(O10/(1-CONFIGURACION!$B$7),0),0)</f>
        <v>3668</v>
      </c>
      <c r="R10" s="20">
        <f>IFERROR(ROUNDUP(O10/(1-CONFIGURACION!$B$8),0),0)</f>
        <v>5501</v>
      </c>
      <c r="S10" s="43">
        <v>4000</v>
      </c>
      <c r="T10" s="30">
        <f t="shared" si="4"/>
        <v>0.5874375</v>
      </c>
      <c r="U10" s="18" t="str">
        <f>IF(S10=0,"SIN PRECIO",IF(T10&lt;CONFIGURACION!$B$6,"BAJO COSTO",IF(T10&lt;CONFIGURACION!$B$7,"REVISAR","OK")))</f>
        <v>OK</v>
      </c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6">
        <f t="shared" si="5"/>
        <v>1650.25</v>
      </c>
      <c r="AP10" s="20">
        <f>IFERROR(ROUNDUP(O10/(1-CONFIGURACION!$B$6),0),0)</f>
        <v>2358</v>
      </c>
      <c r="AQ10" s="26">
        <f>IFERROR(ROUNDUP(O10/(1-CONFIGURACION!$B$7),0),0)</f>
        <v>3668</v>
      </c>
      <c r="AR10" s="20">
        <f>IFERROR(ROUNDUP(O10/(1-CONFIGURACION!$B$8),0),0)</f>
        <v>5501</v>
      </c>
      <c r="AS10" s="43">
        <v>4000</v>
      </c>
      <c r="AT10" s="30">
        <f t="shared" si="6"/>
        <v>0.5874375</v>
      </c>
      <c r="AU10" s="18"/>
    </row>
    <row r="11" ht="18" customHeight="1" spans="1:47">
      <c r="A11" s="17" t="s">
        <v>249</v>
      </c>
      <c r="B11" s="17" t="s">
        <v>209</v>
      </c>
      <c r="C11" s="17" t="s">
        <v>250</v>
      </c>
      <c r="D11" s="17" t="s">
        <v>60</v>
      </c>
      <c r="E11" s="20">
        <f>IFERROR(SUMIF(RECETAS!$B:$B,B11,RECETAS!$H:$H),0)</f>
        <v>426.25</v>
      </c>
      <c r="F11" s="17">
        <v>10</v>
      </c>
      <c r="G11" s="17">
        <v>5</v>
      </c>
      <c r="H11" s="17">
        <v>10</v>
      </c>
      <c r="I11" s="17">
        <v>5</v>
      </c>
      <c r="J11" s="18">
        <f t="shared" si="0"/>
        <v>30</v>
      </c>
      <c r="K11" s="20">
        <f>IFERROR(CONFIGURACION!$B$5,0)</f>
        <v>4000</v>
      </c>
      <c r="L11" s="20">
        <f t="shared" si="1"/>
        <v>2000</v>
      </c>
      <c r="M11" s="42">
        <f>IFERROR(CONFIGURACION!$B$9,0)</f>
        <v>0.15</v>
      </c>
      <c r="N11" s="20">
        <f t="shared" si="2"/>
        <v>363.9375</v>
      </c>
      <c r="O11" s="26">
        <f t="shared" si="3"/>
        <v>2790.1875</v>
      </c>
      <c r="P11" s="20">
        <f>IFERROR(ROUNDUP(O11/(1-CONFIGURACION!$B$6),0),0)</f>
        <v>3986</v>
      </c>
      <c r="Q11" s="26">
        <f>IFERROR(ROUNDUP(O11/(1-CONFIGURACION!$B$7),0),0)</f>
        <v>6201</v>
      </c>
      <c r="R11" s="20">
        <f>IFERROR(ROUNDUP(O11/(1-CONFIGURACION!$B$8),0),0)</f>
        <v>9301</v>
      </c>
      <c r="S11" s="43">
        <v>9500</v>
      </c>
      <c r="T11" s="30">
        <f t="shared" si="4"/>
        <v>0.706296052631579</v>
      </c>
      <c r="U11" s="18" t="str">
        <f>IF(S11=0,"SIN PRECIO",IF(T11&lt;CONFIGURACION!$B$6,"BAJO COSTO",IF(T11&lt;CONFIGURACION!$B$7,"REVISAR","OK")))</f>
        <v>OK</v>
      </c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6">
        <f t="shared" si="5"/>
        <v>2790.1875</v>
      </c>
      <c r="AP11" s="20">
        <f>IFERROR(ROUNDUP(O11/(1-CONFIGURACION!$B$6),0),0)</f>
        <v>3986</v>
      </c>
      <c r="AQ11" s="26">
        <f>IFERROR(ROUNDUP(O11/(1-CONFIGURACION!$B$7),0),0)</f>
        <v>6201</v>
      </c>
      <c r="AR11" s="20">
        <f>IFERROR(ROUNDUP(O11/(1-CONFIGURACION!$B$8),0),0)</f>
        <v>9301</v>
      </c>
      <c r="AS11" s="43">
        <v>9500</v>
      </c>
      <c r="AT11" s="30">
        <f t="shared" si="6"/>
        <v>0.706296052631579</v>
      </c>
      <c r="AU11" s="18"/>
    </row>
    <row r="12" ht="18" customHeight="1" spans="1:47">
      <c r="A12" s="17" t="s">
        <v>251</v>
      </c>
      <c r="B12" s="17" t="s">
        <v>178</v>
      </c>
      <c r="C12" s="17" t="s">
        <v>252</v>
      </c>
      <c r="D12" s="17" t="s">
        <v>60</v>
      </c>
      <c r="E12" s="20">
        <f>IFERROR(SUMIF(RECETAS!$B:$B,B12,RECETAS!$H:$H),0)</f>
        <v>3635</v>
      </c>
      <c r="F12" s="17">
        <v>10</v>
      </c>
      <c r="G12" s="17">
        <v>8</v>
      </c>
      <c r="H12" s="17">
        <v>5</v>
      </c>
      <c r="I12" s="17">
        <v>7</v>
      </c>
      <c r="J12" s="18">
        <f t="shared" si="0"/>
        <v>30</v>
      </c>
      <c r="K12" s="20">
        <f>IFERROR(CONFIGURACION!$B$5,0)</f>
        <v>4000</v>
      </c>
      <c r="L12" s="20">
        <f t="shared" si="1"/>
        <v>2000</v>
      </c>
      <c r="M12" s="42">
        <f>IFERROR(CONFIGURACION!$B$9,0)</f>
        <v>0.15</v>
      </c>
      <c r="N12" s="20">
        <f t="shared" si="2"/>
        <v>845.25</v>
      </c>
      <c r="O12" s="26">
        <f t="shared" si="3"/>
        <v>6480.25</v>
      </c>
      <c r="P12" s="20">
        <f>IFERROR(ROUNDUP(O12/(1-CONFIGURACION!$B$6),0),0)</f>
        <v>9258</v>
      </c>
      <c r="Q12" s="26">
        <f>IFERROR(ROUNDUP(O12/(1-CONFIGURACION!$B$7),0),0)</f>
        <v>14401</v>
      </c>
      <c r="R12" s="20">
        <f>IFERROR(ROUNDUP(O12/(1-CONFIGURACION!$B$8),0),0)</f>
        <v>21601</v>
      </c>
      <c r="S12" s="43">
        <v>8500</v>
      </c>
      <c r="T12" s="30">
        <f t="shared" si="4"/>
        <v>0.237617647058824</v>
      </c>
      <c r="U12" s="18" t="str">
        <f>IF(S12=0,"SIN PRECIO",IF(T12&lt;CONFIGURACION!$B$6,"BAJO COSTO",IF(T12&lt;CONFIGURACION!$B$7,"REVISAR","OK")))</f>
        <v>BAJO COSTO</v>
      </c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6">
        <f t="shared" si="5"/>
        <v>6480.25</v>
      </c>
      <c r="AP12" s="20">
        <f>IFERROR(ROUNDUP(O12/(1-CONFIGURACION!$B$6),0),0)</f>
        <v>9258</v>
      </c>
      <c r="AQ12" s="26">
        <f>IFERROR(ROUNDUP(O12/(1-CONFIGURACION!$B$7),0),0)</f>
        <v>14401</v>
      </c>
      <c r="AR12" s="20">
        <f>IFERROR(ROUNDUP(O12/(1-CONFIGURACION!$B$8),0),0)</f>
        <v>21601</v>
      </c>
      <c r="AS12" s="43">
        <v>8500</v>
      </c>
      <c r="AT12" s="30">
        <f t="shared" si="6"/>
        <v>0.237617647058824</v>
      </c>
      <c r="AU12" s="18"/>
    </row>
    <row r="13" ht="18" customHeight="1" spans="1:47">
      <c r="A13" s="17" t="s">
        <v>253</v>
      </c>
      <c r="B13" s="17" t="s">
        <v>188</v>
      </c>
      <c r="C13" s="17" t="s">
        <v>254</v>
      </c>
      <c r="D13" s="17" t="s">
        <v>60</v>
      </c>
      <c r="E13" s="20">
        <f>IFERROR(SUMIF(RECETAS!$B:$B,B13,RECETAS!$H:$H),0)</f>
        <v>7767.5</v>
      </c>
      <c r="F13" s="17">
        <v>15</v>
      </c>
      <c r="G13" s="17">
        <v>15</v>
      </c>
      <c r="H13" s="17">
        <v>0</v>
      </c>
      <c r="I13" s="17">
        <v>15</v>
      </c>
      <c r="J13" s="18">
        <f t="shared" si="0"/>
        <v>45</v>
      </c>
      <c r="K13" s="20">
        <f>IFERROR(CONFIGURACION!$B$5,0)</f>
        <v>4000</v>
      </c>
      <c r="L13" s="20">
        <f t="shared" si="1"/>
        <v>3000</v>
      </c>
      <c r="M13" s="42">
        <f>IFERROR(CONFIGURACION!$B$9,0)</f>
        <v>0.15</v>
      </c>
      <c r="N13" s="20">
        <f t="shared" si="2"/>
        <v>1615.125</v>
      </c>
      <c r="O13" s="26">
        <f t="shared" si="3"/>
        <v>12382.625</v>
      </c>
      <c r="P13" s="20">
        <f>IFERROR(ROUNDUP(O13/(1-CONFIGURACION!$B$6),0),0)</f>
        <v>17690</v>
      </c>
      <c r="Q13" s="26">
        <f>IFERROR(ROUNDUP(O13/(1-CONFIGURACION!$B$7),0),0)</f>
        <v>27517</v>
      </c>
      <c r="R13" s="20">
        <f>IFERROR(ROUNDUP(O13/(1-CONFIGURACION!$B$8),0),0)</f>
        <v>41276</v>
      </c>
      <c r="S13" s="43">
        <v>18000</v>
      </c>
      <c r="T13" s="30">
        <f t="shared" si="4"/>
        <v>0.312076388888889</v>
      </c>
      <c r="U13" s="18" t="str">
        <f>IF(S13=0,"SIN PRECIO",IF(T13&lt;CONFIGURACION!$B$6,"BAJO COSTO",IF(T13&lt;CONFIGURACION!$B$7,"REVISAR","OK")))</f>
        <v>REVISAR</v>
      </c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6">
        <f t="shared" si="5"/>
        <v>12382.625</v>
      </c>
      <c r="AP13" s="20">
        <f>IFERROR(ROUNDUP(O13/(1-CONFIGURACION!$B$6),0),0)</f>
        <v>17690</v>
      </c>
      <c r="AQ13" s="26">
        <f>IFERROR(ROUNDUP(O13/(1-CONFIGURACION!$B$7),0),0)</f>
        <v>27517</v>
      </c>
      <c r="AR13" s="20">
        <f>IFERROR(ROUNDUP(O13/(1-CONFIGURACION!$B$8),0),0)</f>
        <v>41276</v>
      </c>
      <c r="AS13" s="43">
        <v>18000</v>
      </c>
      <c r="AT13" s="30">
        <f t="shared" si="6"/>
        <v>0.312076388888889</v>
      </c>
      <c r="AU13" s="18"/>
    </row>
    <row r="14" ht="18" customHeight="1" spans="1:47">
      <c r="A14" s="17" t="s">
        <v>255</v>
      </c>
      <c r="B14" s="17" t="s">
        <v>193</v>
      </c>
      <c r="C14" s="17" t="s">
        <v>256</v>
      </c>
      <c r="D14" s="17" t="s">
        <v>60</v>
      </c>
      <c r="E14" s="20">
        <f>IFERROR(SUMIF(RECETAS!$B:$B,B14,RECETAS!$H:$H),0)</f>
        <v>325</v>
      </c>
      <c r="F14" s="17">
        <v>15</v>
      </c>
      <c r="G14" s="17">
        <v>5</v>
      </c>
      <c r="H14" s="17">
        <v>15</v>
      </c>
      <c r="I14" s="17">
        <v>10</v>
      </c>
      <c r="J14" s="18">
        <f t="shared" si="0"/>
        <v>45</v>
      </c>
      <c r="K14" s="20">
        <f>IFERROR(CONFIGURACION!$B$5,0)</f>
        <v>4000</v>
      </c>
      <c r="L14" s="20">
        <f t="shared" si="1"/>
        <v>3000</v>
      </c>
      <c r="M14" s="42">
        <f>IFERROR(CONFIGURACION!$B$9,0)</f>
        <v>0.15</v>
      </c>
      <c r="N14" s="20">
        <f t="shared" si="2"/>
        <v>498.75</v>
      </c>
      <c r="O14" s="26">
        <f t="shared" si="3"/>
        <v>3823.75</v>
      </c>
      <c r="P14" s="20">
        <f>IFERROR(ROUNDUP(O14/(1-CONFIGURACION!$B$6),0),0)</f>
        <v>5463</v>
      </c>
      <c r="Q14" s="26">
        <f>IFERROR(ROUNDUP(O14/(1-CONFIGURACION!$B$7),0),0)</f>
        <v>8498</v>
      </c>
      <c r="R14" s="20">
        <f>IFERROR(ROUNDUP(O14/(1-CONFIGURACION!$B$8),0),0)</f>
        <v>12746</v>
      </c>
      <c r="S14" s="43">
        <v>7500</v>
      </c>
      <c r="T14" s="30">
        <f t="shared" si="4"/>
        <v>0.490166666666667</v>
      </c>
      <c r="U14" s="18" t="str">
        <f>IF(S14=0,"SIN PRECIO",IF(T14&lt;CONFIGURACION!$B$6,"BAJO COSTO",IF(T14&lt;CONFIGURACION!$B$7,"REVISAR","OK")))</f>
        <v>REVISAR</v>
      </c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6">
        <f t="shared" si="5"/>
        <v>3823.75</v>
      </c>
      <c r="AP14" s="20">
        <f>IFERROR(ROUNDUP(O14/(1-CONFIGURACION!$B$6),0),0)</f>
        <v>5463</v>
      </c>
      <c r="AQ14" s="26">
        <f>IFERROR(ROUNDUP(O14/(1-CONFIGURACION!$B$7),0),0)</f>
        <v>8498</v>
      </c>
      <c r="AR14" s="20">
        <f>IFERROR(ROUNDUP(O14/(1-CONFIGURACION!$B$8),0),0)</f>
        <v>12746</v>
      </c>
      <c r="AS14" s="43">
        <v>7500</v>
      </c>
      <c r="AT14" s="30">
        <f t="shared" si="6"/>
        <v>0.490166666666667</v>
      </c>
      <c r="AU14" s="18"/>
    </row>
    <row r="15" spans="1:47">
      <c r="A15" s="17" t="s">
        <v>257</v>
      </c>
      <c r="B15" s="17" t="s">
        <v>214</v>
      </c>
      <c r="C15" s="17" t="s">
        <v>258</v>
      </c>
      <c r="D15" s="17" t="s">
        <v>55</v>
      </c>
      <c r="E15" s="20">
        <f>IFERROR(SUMIF(RECETAS!$B:$B,B15,RECETAS!$H:$H),0)</f>
        <v>5</v>
      </c>
      <c r="F15" s="17">
        <v>10</v>
      </c>
      <c r="G15" s="17">
        <v>5</v>
      </c>
      <c r="H15" s="17">
        <v>5</v>
      </c>
      <c r="I15" s="17">
        <v>10</v>
      </c>
      <c r="J15" s="18">
        <f t="shared" si="0"/>
        <v>30</v>
      </c>
      <c r="K15" s="20">
        <f>IFERROR(CONFIGURACION!$B$5,0)</f>
        <v>4000</v>
      </c>
      <c r="L15" s="20">
        <f t="shared" si="1"/>
        <v>2000</v>
      </c>
      <c r="M15" s="42">
        <f>IFERROR(CONFIGURACION!$B$9,0)</f>
        <v>0.15</v>
      </c>
      <c r="N15" s="20">
        <f t="shared" si="2"/>
        <v>300.75</v>
      </c>
      <c r="AO15" s="26">
        <f t="shared" si="5"/>
        <v>2305.75</v>
      </c>
      <c r="AP15" s="20">
        <f>IFERROR(ROUNDUP(O15/(1-CONFIGURACION!$B$6),0),0)</f>
        <v>0</v>
      </c>
      <c r="AQ15" s="26">
        <f>IFERROR(ROUNDUP(O15/(1-CONFIGURACION!$B$7),0),0)</f>
        <v>0</v>
      </c>
      <c r="AR15" s="20">
        <f>IFERROR(ROUNDUP(O15/(1-CONFIGURACION!$B$8),0),0)</f>
        <v>0</v>
      </c>
      <c r="AS15" s="43">
        <v>250</v>
      </c>
      <c r="AT15" s="30">
        <f t="shared" si="6"/>
        <v>0</v>
      </c>
      <c r="AU15" s="18"/>
    </row>
    <row r="16" spans="1:47">
      <c r="A16" s="17"/>
      <c r="B16" s="17"/>
      <c r="C16" s="17"/>
      <c r="D16" s="17"/>
      <c r="E16" s="20">
        <f>IFERROR(SUMIF(RECETAS!$B:$B,B16,RECETAS!$H:$H),0)</f>
        <v>0</v>
      </c>
      <c r="F16" s="17"/>
      <c r="G16" s="17"/>
      <c r="H16" s="17"/>
      <c r="I16" s="17"/>
      <c r="J16" s="18">
        <f t="shared" si="0"/>
        <v>0</v>
      </c>
      <c r="K16" s="20">
        <f>IFERROR(CONFIGURACION!$B$5,0)</f>
        <v>4000</v>
      </c>
      <c r="L16" s="20">
        <f t="shared" si="1"/>
        <v>0</v>
      </c>
      <c r="M16" s="42">
        <f>IFERROR(CONFIGURACION!$B$9,0)</f>
        <v>0.15</v>
      </c>
      <c r="N16" s="20">
        <f t="shared" si="2"/>
        <v>0</v>
      </c>
      <c r="AO16" s="26">
        <f t="shared" si="5"/>
        <v>0</v>
      </c>
      <c r="AP16" s="20">
        <f>IFERROR(ROUNDUP(O16/(1-CONFIGURACION!$B$6),0),0)</f>
        <v>0</v>
      </c>
      <c r="AQ16" s="26">
        <f>IFERROR(ROUNDUP(O16/(1-CONFIGURACION!$B$7),0),0)</f>
        <v>0</v>
      </c>
      <c r="AR16" s="20">
        <f>IFERROR(ROUNDUP(O16/(1-CONFIGURACION!$B$8),0),0)</f>
        <v>0</v>
      </c>
      <c r="AS16" s="43"/>
      <c r="AT16" s="30">
        <f t="shared" si="6"/>
        <v>0</v>
      </c>
      <c r="AU16" s="18"/>
    </row>
    <row r="17" spans="1:47">
      <c r="A17" s="17"/>
      <c r="B17" s="17"/>
      <c r="C17" s="17"/>
      <c r="D17" s="17"/>
      <c r="E17" s="20">
        <f>IFERROR(SUMIF(RECETAS!$B:$B,B17,RECETAS!$H:$H),0)</f>
        <v>0</v>
      </c>
      <c r="F17" s="17"/>
      <c r="G17" s="17"/>
      <c r="H17" s="17"/>
      <c r="I17" s="17"/>
      <c r="J17" s="18">
        <f t="shared" si="0"/>
        <v>0</v>
      </c>
      <c r="K17" s="20">
        <f>IFERROR(CONFIGURACION!$B$5,0)</f>
        <v>4000</v>
      </c>
      <c r="L17" s="20">
        <f t="shared" si="1"/>
        <v>0</v>
      </c>
      <c r="M17" s="42">
        <f>IFERROR(CONFIGURACION!$B$9,0)</f>
        <v>0.15</v>
      </c>
      <c r="N17" s="20">
        <f t="shared" si="2"/>
        <v>0</v>
      </c>
      <c r="AO17" s="26">
        <f t="shared" si="5"/>
        <v>0</v>
      </c>
      <c r="AP17" s="20">
        <f>IFERROR(ROUNDUP(O17/(1-CONFIGURACION!$B$6),0),0)</f>
        <v>0</v>
      </c>
      <c r="AQ17" s="26">
        <f>IFERROR(ROUNDUP(O17/(1-CONFIGURACION!$B$7),0),0)</f>
        <v>0</v>
      </c>
      <c r="AR17" s="20">
        <f>IFERROR(ROUNDUP(O17/(1-CONFIGURACION!$B$8),0),0)</f>
        <v>0</v>
      </c>
      <c r="AS17" s="43"/>
      <c r="AT17" s="30">
        <f t="shared" si="6"/>
        <v>0</v>
      </c>
      <c r="AU17" s="18"/>
    </row>
    <row r="18" spans="1:47">
      <c r="A18" s="17"/>
      <c r="B18" s="17"/>
      <c r="C18" s="17"/>
      <c r="D18" s="17"/>
      <c r="E18" s="20">
        <f>IFERROR(SUMIF(RECETAS!$B:$B,B18,RECETAS!$H:$H),0)</f>
        <v>0</v>
      </c>
      <c r="F18" s="17"/>
      <c r="G18" s="17"/>
      <c r="H18" s="17"/>
      <c r="I18" s="17"/>
      <c r="J18" s="18">
        <f t="shared" si="0"/>
        <v>0</v>
      </c>
      <c r="K18" s="20">
        <f>IFERROR(CONFIGURACION!$B$5,0)</f>
        <v>4000</v>
      </c>
      <c r="L18" s="20">
        <f t="shared" si="1"/>
        <v>0</v>
      </c>
      <c r="M18" s="42">
        <f>IFERROR(CONFIGURACION!$B$9,0)</f>
        <v>0.15</v>
      </c>
      <c r="N18" s="20">
        <f t="shared" si="2"/>
        <v>0</v>
      </c>
      <c r="AO18" s="26">
        <f t="shared" si="5"/>
        <v>0</v>
      </c>
      <c r="AP18" s="20">
        <f>IFERROR(ROUNDUP(O18/(1-CONFIGURACION!$B$6),0),0)</f>
        <v>0</v>
      </c>
      <c r="AQ18" s="26">
        <f>IFERROR(ROUNDUP(O18/(1-CONFIGURACION!$B$7),0),0)</f>
        <v>0</v>
      </c>
      <c r="AR18" s="20">
        <f>IFERROR(ROUNDUP(O18/(1-CONFIGURACION!$B$8),0),0)</f>
        <v>0</v>
      </c>
      <c r="AS18" s="43"/>
      <c r="AT18" s="30">
        <f t="shared" si="6"/>
        <v>0</v>
      </c>
      <c r="AU18" s="18"/>
    </row>
    <row r="19" spans="1:47">
      <c r="A19" s="17"/>
      <c r="B19" s="17"/>
      <c r="C19" s="17"/>
      <c r="D19" s="17"/>
      <c r="E19" s="20">
        <f>IFERROR(SUMIF(RECETAS!$B:$B,B19,RECETAS!$H:$H),0)</f>
        <v>0</v>
      </c>
      <c r="F19" s="17"/>
      <c r="G19" s="17"/>
      <c r="H19" s="17"/>
      <c r="I19" s="17"/>
      <c r="J19" s="18">
        <f t="shared" si="0"/>
        <v>0</v>
      </c>
      <c r="K19" s="20">
        <f>IFERROR(CONFIGURACION!$B$5,0)</f>
        <v>4000</v>
      </c>
      <c r="L19" s="20">
        <f t="shared" si="1"/>
        <v>0</v>
      </c>
      <c r="M19" s="42">
        <f>IFERROR(CONFIGURACION!$B$9,0)</f>
        <v>0.15</v>
      </c>
      <c r="N19" s="20">
        <f t="shared" si="2"/>
        <v>0</v>
      </c>
      <c r="AO19" s="26">
        <f t="shared" si="5"/>
        <v>0</v>
      </c>
      <c r="AP19" s="20">
        <f>IFERROR(ROUNDUP(O19/(1-CONFIGURACION!$B$6),0),0)</f>
        <v>0</v>
      </c>
      <c r="AQ19" s="26">
        <f>IFERROR(ROUNDUP(O19/(1-CONFIGURACION!$B$7),0),0)</f>
        <v>0</v>
      </c>
      <c r="AR19" s="20">
        <f>IFERROR(ROUNDUP(O19/(1-CONFIGURACION!$B$8),0),0)</f>
        <v>0</v>
      </c>
      <c r="AS19" s="43"/>
      <c r="AT19" s="30">
        <f t="shared" si="6"/>
        <v>0</v>
      </c>
      <c r="AU19" s="18"/>
    </row>
    <row r="20" spans="1:47">
      <c r="A20" s="17"/>
      <c r="B20" s="17"/>
      <c r="C20" s="17"/>
      <c r="D20" s="17"/>
      <c r="E20" s="20">
        <f>IFERROR(SUMIF(RECETAS!$B:$B,B20,RECETAS!$H:$H),0)</f>
        <v>0</v>
      </c>
      <c r="F20" s="17"/>
      <c r="G20" s="17"/>
      <c r="H20" s="17"/>
      <c r="I20" s="17"/>
      <c r="J20" s="18">
        <f t="shared" si="0"/>
        <v>0</v>
      </c>
      <c r="K20" s="20">
        <f>IFERROR(CONFIGURACION!$B$5,0)</f>
        <v>4000</v>
      </c>
      <c r="L20" s="20">
        <f t="shared" si="1"/>
        <v>0</v>
      </c>
      <c r="M20" s="42">
        <f>IFERROR(CONFIGURACION!$B$9,0)</f>
        <v>0.15</v>
      </c>
      <c r="N20" s="20">
        <f t="shared" si="2"/>
        <v>0</v>
      </c>
      <c r="AO20" s="26">
        <f t="shared" si="5"/>
        <v>0</v>
      </c>
      <c r="AP20" s="20">
        <f>IFERROR(ROUNDUP(O20/(1-CONFIGURACION!$B$6),0),0)</f>
        <v>0</v>
      </c>
      <c r="AQ20" s="26">
        <f>IFERROR(ROUNDUP(O20/(1-CONFIGURACION!$B$7),0),0)</f>
        <v>0</v>
      </c>
      <c r="AR20" s="20">
        <f>IFERROR(ROUNDUP(O20/(1-CONFIGURACION!$B$8),0),0)</f>
        <v>0</v>
      </c>
      <c r="AS20" s="43"/>
      <c r="AT20" s="30">
        <f t="shared" si="6"/>
        <v>0</v>
      </c>
      <c r="AU20" s="18"/>
    </row>
    <row r="21" spans="1:47">
      <c r="A21" s="17"/>
      <c r="B21" s="17"/>
      <c r="C21" s="17"/>
      <c r="D21" s="17"/>
      <c r="E21" s="20">
        <f>IFERROR(SUMIF(RECETAS!$B:$B,B21,RECETAS!$H:$H),0)</f>
        <v>0</v>
      </c>
      <c r="F21" s="17"/>
      <c r="G21" s="17"/>
      <c r="H21" s="17"/>
      <c r="I21" s="17"/>
      <c r="J21" s="18">
        <f t="shared" si="0"/>
        <v>0</v>
      </c>
      <c r="K21" s="20">
        <f>IFERROR(CONFIGURACION!$B$5,0)</f>
        <v>4000</v>
      </c>
      <c r="L21" s="20">
        <f t="shared" si="1"/>
        <v>0</v>
      </c>
      <c r="M21" s="42">
        <f>IFERROR(CONFIGURACION!$B$9,0)</f>
        <v>0.15</v>
      </c>
      <c r="N21" s="20">
        <f t="shared" si="2"/>
        <v>0</v>
      </c>
      <c r="AO21" s="26">
        <f t="shared" si="5"/>
        <v>0</v>
      </c>
      <c r="AP21" s="20">
        <f>IFERROR(ROUNDUP(O21/(1-CONFIGURACION!$B$6),0),0)</f>
        <v>0</v>
      </c>
      <c r="AQ21" s="26">
        <f>IFERROR(ROUNDUP(O21/(1-CONFIGURACION!$B$7),0),0)</f>
        <v>0</v>
      </c>
      <c r="AR21" s="20">
        <f>IFERROR(ROUNDUP(O21/(1-CONFIGURACION!$B$8),0),0)</f>
        <v>0</v>
      </c>
      <c r="AS21" s="43"/>
      <c r="AT21" s="30">
        <f t="shared" si="6"/>
        <v>0</v>
      </c>
      <c r="AU21" s="18"/>
    </row>
    <row r="22" spans="1:47">
      <c r="A22" s="17"/>
      <c r="B22" s="17"/>
      <c r="C22" s="17"/>
      <c r="D22" s="17"/>
      <c r="E22" s="20">
        <f>IFERROR(SUMIF(RECETAS!$B:$B,B22,RECETAS!$H:$H),0)</f>
        <v>0</v>
      </c>
      <c r="F22" s="17"/>
      <c r="G22" s="17"/>
      <c r="H22" s="17"/>
      <c r="I22" s="17"/>
      <c r="J22" s="18">
        <f t="shared" si="0"/>
        <v>0</v>
      </c>
      <c r="K22" s="20">
        <f>IFERROR(CONFIGURACION!$B$5,0)</f>
        <v>4000</v>
      </c>
      <c r="L22" s="20">
        <f t="shared" si="1"/>
        <v>0</v>
      </c>
      <c r="M22" s="42">
        <f>IFERROR(CONFIGURACION!$B$9,0)</f>
        <v>0.15</v>
      </c>
      <c r="N22" s="20">
        <f t="shared" si="2"/>
        <v>0</v>
      </c>
      <c r="AO22" s="26">
        <f t="shared" si="5"/>
        <v>0</v>
      </c>
      <c r="AP22" s="20">
        <f>IFERROR(ROUNDUP(O22/(1-CONFIGURACION!$B$6),0),0)</f>
        <v>0</v>
      </c>
      <c r="AQ22" s="26">
        <f>IFERROR(ROUNDUP(O22/(1-CONFIGURACION!$B$7),0),0)</f>
        <v>0</v>
      </c>
      <c r="AR22" s="20">
        <f>IFERROR(ROUNDUP(O22/(1-CONFIGURACION!$B$8),0),0)</f>
        <v>0</v>
      </c>
      <c r="AS22" s="43"/>
      <c r="AT22" s="30">
        <f t="shared" si="6"/>
        <v>0</v>
      </c>
      <c r="AU22" s="18"/>
    </row>
    <row r="23" spans="1:47">
      <c r="A23" s="17"/>
      <c r="B23" s="17"/>
      <c r="C23" s="17"/>
      <c r="D23" s="17"/>
      <c r="E23" s="20">
        <f>IFERROR(SUMIF(RECETAS!$B:$B,B23,RECETAS!$H:$H),0)</f>
        <v>0</v>
      </c>
      <c r="F23" s="17"/>
      <c r="G23" s="17"/>
      <c r="H23" s="17"/>
      <c r="I23" s="17"/>
      <c r="J23" s="18">
        <f t="shared" si="0"/>
        <v>0</v>
      </c>
      <c r="K23" s="20">
        <f>IFERROR(CONFIGURACION!$B$5,0)</f>
        <v>4000</v>
      </c>
      <c r="L23" s="20">
        <f t="shared" si="1"/>
        <v>0</v>
      </c>
      <c r="M23" s="42">
        <f>IFERROR(CONFIGURACION!$B$9,0)</f>
        <v>0.15</v>
      </c>
      <c r="N23" s="20">
        <f t="shared" si="2"/>
        <v>0</v>
      </c>
      <c r="AO23" s="26">
        <f t="shared" si="5"/>
        <v>0</v>
      </c>
      <c r="AP23" s="20">
        <f>IFERROR(ROUNDUP(O23/(1-CONFIGURACION!$B$6),0),0)</f>
        <v>0</v>
      </c>
      <c r="AQ23" s="26">
        <f>IFERROR(ROUNDUP(O23/(1-CONFIGURACION!$B$7),0),0)</f>
        <v>0</v>
      </c>
      <c r="AR23" s="20">
        <f>IFERROR(ROUNDUP(O23/(1-CONFIGURACION!$B$8),0),0)</f>
        <v>0</v>
      </c>
      <c r="AS23" s="43"/>
      <c r="AT23" s="30">
        <f t="shared" si="6"/>
        <v>0</v>
      </c>
      <c r="AU23" s="18"/>
    </row>
    <row r="24" spans="1:47">
      <c r="A24" s="17"/>
      <c r="B24" s="17"/>
      <c r="C24" s="17"/>
      <c r="D24" s="17"/>
      <c r="E24" s="20">
        <f>IFERROR(SUMIF(RECETAS!$B:$B,B24,RECETAS!$H:$H),0)</f>
        <v>0</v>
      </c>
      <c r="F24" s="17"/>
      <c r="G24" s="17"/>
      <c r="H24" s="17"/>
      <c r="I24" s="17"/>
      <c r="J24" s="18">
        <f t="shared" si="0"/>
        <v>0</v>
      </c>
      <c r="K24" s="20">
        <f>IFERROR(CONFIGURACION!$B$5,0)</f>
        <v>4000</v>
      </c>
      <c r="L24" s="20">
        <f t="shared" si="1"/>
        <v>0</v>
      </c>
      <c r="M24" s="42">
        <f>IFERROR(CONFIGURACION!$B$9,0)</f>
        <v>0.15</v>
      </c>
      <c r="N24" s="20">
        <f t="shared" si="2"/>
        <v>0</v>
      </c>
      <c r="AO24" s="26">
        <f t="shared" si="5"/>
        <v>0</v>
      </c>
      <c r="AP24" s="20">
        <f>IFERROR(ROUNDUP(O24/(1-CONFIGURACION!$B$6),0),0)</f>
        <v>0</v>
      </c>
      <c r="AQ24" s="26">
        <f>IFERROR(ROUNDUP(O24/(1-CONFIGURACION!$B$7),0),0)</f>
        <v>0</v>
      </c>
      <c r="AR24" s="20">
        <f>IFERROR(ROUNDUP(O24/(1-CONFIGURACION!$B$8),0),0)</f>
        <v>0</v>
      </c>
      <c r="AS24" s="43"/>
      <c r="AT24" s="30">
        <f t="shared" si="6"/>
        <v>0</v>
      </c>
      <c r="AU24" s="18"/>
    </row>
    <row r="25" spans="1:47">
      <c r="A25" s="17"/>
      <c r="B25" s="17"/>
      <c r="C25" s="17"/>
      <c r="D25" s="17"/>
      <c r="E25" s="20">
        <f>IFERROR(SUMIF(RECETAS!$B:$B,B25,RECETAS!$H:$H),0)</f>
        <v>0</v>
      </c>
      <c r="F25" s="17"/>
      <c r="G25" s="17"/>
      <c r="H25" s="17"/>
      <c r="I25" s="17"/>
      <c r="J25" s="18">
        <f t="shared" si="0"/>
        <v>0</v>
      </c>
      <c r="K25" s="20">
        <f>IFERROR(CONFIGURACION!$B$5,0)</f>
        <v>4000</v>
      </c>
      <c r="L25" s="20">
        <f t="shared" si="1"/>
        <v>0</v>
      </c>
      <c r="M25" s="42">
        <f>IFERROR(CONFIGURACION!$B$9,0)</f>
        <v>0.15</v>
      </c>
      <c r="N25" s="20">
        <f t="shared" si="2"/>
        <v>0</v>
      </c>
      <c r="AO25" s="26">
        <f t="shared" si="5"/>
        <v>0</v>
      </c>
      <c r="AP25" s="20">
        <f>IFERROR(ROUNDUP(O25/(1-CONFIGURACION!$B$6),0),0)</f>
        <v>0</v>
      </c>
      <c r="AQ25" s="26">
        <f>IFERROR(ROUNDUP(O25/(1-CONFIGURACION!$B$7),0),0)</f>
        <v>0</v>
      </c>
      <c r="AR25" s="20">
        <f>IFERROR(ROUNDUP(O25/(1-CONFIGURACION!$B$8),0),0)</f>
        <v>0</v>
      </c>
      <c r="AS25" s="43"/>
      <c r="AT25" s="30">
        <f t="shared" si="6"/>
        <v>0</v>
      </c>
      <c r="AU25" s="18"/>
    </row>
    <row r="26" spans="1:47">
      <c r="A26" s="17"/>
      <c r="B26" s="17"/>
      <c r="C26" s="17"/>
      <c r="D26" s="17"/>
      <c r="E26" s="20">
        <f>IFERROR(SUMIF(RECETAS!$B:$B,B26,RECETAS!$H:$H),0)</f>
        <v>0</v>
      </c>
      <c r="F26" s="17"/>
      <c r="G26" s="17"/>
      <c r="H26" s="17"/>
      <c r="I26" s="17"/>
      <c r="J26" s="18">
        <f t="shared" si="0"/>
        <v>0</v>
      </c>
      <c r="K26" s="20">
        <f>IFERROR(CONFIGURACION!$B$5,0)</f>
        <v>4000</v>
      </c>
      <c r="L26" s="20">
        <f t="shared" si="1"/>
        <v>0</v>
      </c>
      <c r="M26" s="42">
        <f>IFERROR(CONFIGURACION!$B$9,0)</f>
        <v>0.15</v>
      </c>
      <c r="N26" s="20">
        <f t="shared" si="2"/>
        <v>0</v>
      </c>
      <c r="AO26" s="26">
        <f t="shared" si="5"/>
        <v>0</v>
      </c>
      <c r="AP26" s="20">
        <f>IFERROR(ROUNDUP(O26/(1-CONFIGURACION!$B$6),0),0)</f>
        <v>0</v>
      </c>
      <c r="AQ26" s="26">
        <f>IFERROR(ROUNDUP(O26/(1-CONFIGURACION!$B$7),0),0)</f>
        <v>0</v>
      </c>
      <c r="AR26" s="20">
        <f>IFERROR(ROUNDUP(O26/(1-CONFIGURACION!$B$8),0),0)</f>
        <v>0</v>
      </c>
      <c r="AS26" s="43"/>
      <c r="AT26" s="30">
        <f t="shared" si="6"/>
        <v>0</v>
      </c>
      <c r="AU26" s="18"/>
    </row>
    <row r="27" spans="1:47">
      <c r="A27" s="17"/>
      <c r="B27" s="17"/>
      <c r="C27" s="17"/>
      <c r="D27" s="17"/>
      <c r="E27" s="20">
        <f>IFERROR(SUMIF(RECETAS!$B:$B,B27,RECETAS!$H:$H),0)</f>
        <v>0</v>
      </c>
      <c r="F27" s="17"/>
      <c r="G27" s="17"/>
      <c r="H27" s="17"/>
      <c r="I27" s="17"/>
      <c r="J27" s="18">
        <f t="shared" si="0"/>
        <v>0</v>
      </c>
      <c r="K27" s="20">
        <f>IFERROR(CONFIGURACION!$B$5,0)</f>
        <v>4000</v>
      </c>
      <c r="L27" s="20">
        <f t="shared" si="1"/>
        <v>0</v>
      </c>
      <c r="M27" s="42">
        <f>IFERROR(CONFIGURACION!$B$9,0)</f>
        <v>0.15</v>
      </c>
      <c r="N27" s="20">
        <f t="shared" si="2"/>
        <v>0</v>
      </c>
      <c r="AO27" s="26">
        <f t="shared" si="5"/>
        <v>0</v>
      </c>
      <c r="AP27" s="20">
        <f>IFERROR(ROUNDUP(O27/(1-CONFIGURACION!$B$6),0),0)</f>
        <v>0</v>
      </c>
      <c r="AQ27" s="26">
        <f>IFERROR(ROUNDUP(O27/(1-CONFIGURACION!$B$7),0),0)</f>
        <v>0</v>
      </c>
      <c r="AR27" s="20">
        <f>IFERROR(ROUNDUP(O27/(1-CONFIGURACION!$B$8),0),0)</f>
        <v>0</v>
      </c>
      <c r="AS27" s="43"/>
      <c r="AT27" s="30">
        <f t="shared" si="6"/>
        <v>0</v>
      </c>
      <c r="AU27" s="18"/>
    </row>
    <row r="28" spans="1:47">
      <c r="A28" s="17"/>
      <c r="B28" s="17"/>
      <c r="C28" s="17"/>
      <c r="D28" s="17"/>
      <c r="E28" s="20">
        <f>IFERROR(SUMIF(RECETAS!$B:$B,B28,RECETAS!$H:$H),0)</f>
        <v>0</v>
      </c>
      <c r="F28" s="17"/>
      <c r="G28" s="17"/>
      <c r="H28" s="17"/>
      <c r="I28" s="17"/>
      <c r="J28" s="18">
        <f t="shared" si="0"/>
        <v>0</v>
      </c>
      <c r="K28" s="20">
        <f>IFERROR(CONFIGURACION!$B$5,0)</f>
        <v>4000</v>
      </c>
      <c r="L28" s="20">
        <f t="shared" si="1"/>
        <v>0</v>
      </c>
      <c r="M28" s="42">
        <f>IFERROR(CONFIGURACION!$B$9,0)</f>
        <v>0.15</v>
      </c>
      <c r="N28" s="20">
        <f t="shared" si="2"/>
        <v>0</v>
      </c>
      <c r="AO28" s="26">
        <f t="shared" si="5"/>
        <v>0</v>
      </c>
      <c r="AP28" s="20">
        <f>IFERROR(ROUNDUP(O28/(1-CONFIGURACION!$B$6),0),0)</f>
        <v>0</v>
      </c>
      <c r="AQ28" s="26">
        <f>IFERROR(ROUNDUP(O28/(1-CONFIGURACION!$B$7),0),0)</f>
        <v>0</v>
      </c>
      <c r="AR28" s="20">
        <f>IFERROR(ROUNDUP(O28/(1-CONFIGURACION!$B$8),0),0)</f>
        <v>0</v>
      </c>
      <c r="AS28" s="43"/>
      <c r="AT28" s="30">
        <f t="shared" si="6"/>
        <v>0</v>
      </c>
      <c r="AU28" s="18"/>
    </row>
    <row r="29" spans="1:47">
      <c r="A29" s="17"/>
      <c r="B29" s="17"/>
      <c r="C29" s="17"/>
      <c r="D29" s="17"/>
      <c r="E29" s="20">
        <f>IFERROR(SUMIF(RECETAS!$B:$B,B29,RECETAS!$H:$H),0)</f>
        <v>0</v>
      </c>
      <c r="F29" s="17"/>
      <c r="G29" s="17"/>
      <c r="H29" s="17"/>
      <c r="I29" s="17"/>
      <c r="J29" s="18">
        <f t="shared" si="0"/>
        <v>0</v>
      </c>
      <c r="K29" s="20">
        <f>IFERROR(CONFIGURACION!$B$5,0)</f>
        <v>4000</v>
      </c>
      <c r="L29" s="20">
        <f t="shared" si="1"/>
        <v>0</v>
      </c>
      <c r="M29" s="42">
        <f>IFERROR(CONFIGURACION!$B$9,0)</f>
        <v>0.15</v>
      </c>
      <c r="N29" s="20">
        <f t="shared" si="2"/>
        <v>0</v>
      </c>
      <c r="AO29" s="26">
        <f t="shared" si="5"/>
        <v>0</v>
      </c>
      <c r="AP29" s="20">
        <f>IFERROR(ROUNDUP(O29/(1-CONFIGURACION!$B$6),0),0)</f>
        <v>0</v>
      </c>
      <c r="AQ29" s="26">
        <f>IFERROR(ROUNDUP(O29/(1-CONFIGURACION!$B$7),0),0)</f>
        <v>0</v>
      </c>
      <c r="AR29" s="20">
        <f>IFERROR(ROUNDUP(O29/(1-CONFIGURACION!$B$8),0),0)</f>
        <v>0</v>
      </c>
      <c r="AS29" s="43"/>
      <c r="AT29" s="30">
        <f t="shared" si="6"/>
        <v>0</v>
      </c>
      <c r="AU29" s="18"/>
    </row>
    <row r="30" spans="1:47">
      <c r="A30" s="17"/>
      <c r="B30" s="17"/>
      <c r="C30" s="17"/>
      <c r="D30" s="17"/>
      <c r="E30" s="20">
        <f>IFERROR(SUMIF(RECETAS!$B:$B,B30,RECETAS!$H:$H),0)</f>
        <v>0</v>
      </c>
      <c r="F30" s="17"/>
      <c r="G30" s="17"/>
      <c r="H30" s="17"/>
      <c r="I30" s="17"/>
      <c r="J30" s="18">
        <f t="shared" si="0"/>
        <v>0</v>
      </c>
      <c r="K30" s="20">
        <f>IFERROR(CONFIGURACION!$B$5,0)</f>
        <v>4000</v>
      </c>
      <c r="L30" s="20">
        <f t="shared" si="1"/>
        <v>0</v>
      </c>
      <c r="M30" s="42">
        <f>IFERROR(CONFIGURACION!$B$9,0)</f>
        <v>0.15</v>
      </c>
      <c r="N30" s="20">
        <f t="shared" si="2"/>
        <v>0</v>
      </c>
      <c r="AO30" s="26">
        <f t="shared" si="5"/>
        <v>0</v>
      </c>
      <c r="AP30" s="20">
        <f>IFERROR(ROUNDUP(O30/(1-CONFIGURACION!$B$6),0),0)</f>
        <v>0</v>
      </c>
      <c r="AQ30" s="26">
        <f>IFERROR(ROUNDUP(O30/(1-CONFIGURACION!$B$7),0),0)</f>
        <v>0</v>
      </c>
      <c r="AR30" s="20">
        <f>IFERROR(ROUNDUP(O30/(1-CONFIGURACION!$B$8),0),0)</f>
        <v>0</v>
      </c>
      <c r="AS30" s="43"/>
      <c r="AT30" s="30">
        <f t="shared" si="6"/>
        <v>0</v>
      </c>
      <c r="AU30" s="18"/>
    </row>
    <row r="31" spans="1:47">
      <c r="A31" s="17"/>
      <c r="B31" s="17"/>
      <c r="C31" s="17"/>
      <c r="D31" s="17"/>
      <c r="E31" s="20">
        <f>IFERROR(SUMIF(RECETAS!$B:$B,B31,RECETAS!$H:$H),0)</f>
        <v>0</v>
      </c>
      <c r="F31" s="17"/>
      <c r="G31" s="17"/>
      <c r="H31" s="17"/>
      <c r="I31" s="17"/>
      <c r="J31" s="18">
        <f t="shared" si="0"/>
        <v>0</v>
      </c>
      <c r="K31" s="20">
        <f>IFERROR(CONFIGURACION!$B$5,0)</f>
        <v>4000</v>
      </c>
      <c r="L31" s="20">
        <f t="shared" si="1"/>
        <v>0</v>
      </c>
      <c r="M31" s="42">
        <f>IFERROR(CONFIGURACION!$B$9,0)</f>
        <v>0.15</v>
      </c>
      <c r="N31" s="20">
        <f t="shared" si="2"/>
        <v>0</v>
      </c>
      <c r="AO31" s="26">
        <f t="shared" si="5"/>
        <v>0</v>
      </c>
      <c r="AP31" s="20">
        <f>IFERROR(ROUNDUP(O31/(1-CONFIGURACION!$B$6),0),0)</f>
        <v>0</v>
      </c>
      <c r="AQ31" s="26">
        <f>IFERROR(ROUNDUP(O31/(1-CONFIGURACION!$B$7),0),0)</f>
        <v>0</v>
      </c>
      <c r="AR31" s="20">
        <f>IFERROR(ROUNDUP(O31/(1-CONFIGURACION!$B$8),0),0)</f>
        <v>0</v>
      </c>
      <c r="AS31" s="43"/>
      <c r="AT31" s="30">
        <f t="shared" si="6"/>
        <v>0</v>
      </c>
      <c r="AU31" s="18"/>
    </row>
    <row r="32" spans="1:47">
      <c r="A32" s="17"/>
      <c r="B32" s="17"/>
      <c r="C32" s="17"/>
      <c r="D32" s="17"/>
      <c r="E32" s="20">
        <f>IFERROR(SUMIF(RECETAS!$B:$B,B32,RECETAS!$H:$H),0)</f>
        <v>0</v>
      </c>
      <c r="F32" s="17"/>
      <c r="G32" s="17"/>
      <c r="H32" s="17"/>
      <c r="I32" s="17"/>
      <c r="J32" s="18">
        <f t="shared" si="0"/>
        <v>0</v>
      </c>
      <c r="K32" s="20">
        <f>IFERROR(CONFIGURACION!$B$5,0)</f>
        <v>4000</v>
      </c>
      <c r="L32" s="20">
        <f t="shared" si="1"/>
        <v>0</v>
      </c>
      <c r="M32" s="42">
        <f>IFERROR(CONFIGURACION!$B$9,0)</f>
        <v>0.15</v>
      </c>
      <c r="N32" s="20">
        <f t="shared" si="2"/>
        <v>0</v>
      </c>
      <c r="AO32" s="26">
        <f t="shared" si="5"/>
        <v>0</v>
      </c>
      <c r="AP32" s="20">
        <f>IFERROR(ROUNDUP(O32/(1-CONFIGURACION!$B$6),0),0)</f>
        <v>0</v>
      </c>
      <c r="AQ32" s="26">
        <f>IFERROR(ROUNDUP(O32/(1-CONFIGURACION!$B$7),0),0)</f>
        <v>0</v>
      </c>
      <c r="AR32" s="20">
        <f>IFERROR(ROUNDUP(O32/(1-CONFIGURACION!$B$8),0),0)</f>
        <v>0</v>
      </c>
      <c r="AS32" s="43"/>
      <c r="AT32" s="30">
        <f t="shared" si="6"/>
        <v>0</v>
      </c>
      <c r="AU32" s="18"/>
    </row>
    <row r="33" spans="1:47">
      <c r="A33" s="17"/>
      <c r="B33" s="17"/>
      <c r="C33" s="17"/>
      <c r="D33" s="17"/>
      <c r="E33" s="20">
        <f>IFERROR(SUMIF(RECETAS!$B:$B,B33,RECETAS!$H:$H),0)</f>
        <v>0</v>
      </c>
      <c r="F33" s="17"/>
      <c r="G33" s="17"/>
      <c r="H33" s="17"/>
      <c r="I33" s="17"/>
      <c r="J33" s="18">
        <f t="shared" si="0"/>
        <v>0</v>
      </c>
      <c r="K33" s="20">
        <f>IFERROR(CONFIGURACION!$B$5,0)</f>
        <v>4000</v>
      </c>
      <c r="L33" s="20">
        <f t="shared" si="1"/>
        <v>0</v>
      </c>
      <c r="M33" s="42">
        <f>IFERROR(CONFIGURACION!$B$9,0)</f>
        <v>0.15</v>
      </c>
      <c r="N33" s="20">
        <f t="shared" si="2"/>
        <v>0</v>
      </c>
      <c r="AO33" s="26">
        <f t="shared" si="5"/>
        <v>0</v>
      </c>
      <c r="AP33" s="20">
        <f>IFERROR(ROUNDUP(O33/(1-CONFIGURACION!$B$6),0),0)</f>
        <v>0</v>
      </c>
      <c r="AQ33" s="26">
        <f>IFERROR(ROUNDUP(O33/(1-CONFIGURACION!$B$7),0),0)</f>
        <v>0</v>
      </c>
      <c r="AR33" s="20">
        <f>IFERROR(ROUNDUP(O33/(1-CONFIGURACION!$B$8),0),0)</f>
        <v>0</v>
      </c>
      <c r="AS33" s="43"/>
      <c r="AT33" s="30">
        <f t="shared" si="6"/>
        <v>0</v>
      </c>
      <c r="AU33" s="18"/>
    </row>
    <row r="34" spans="1:47">
      <c r="A34" s="17"/>
      <c r="B34" s="17"/>
      <c r="C34" s="17"/>
      <c r="D34" s="17"/>
      <c r="E34" s="20">
        <f>IFERROR(SUMIF(RECETAS!$B:$B,B34,RECETAS!$H:$H),0)</f>
        <v>0</v>
      </c>
      <c r="F34" s="17"/>
      <c r="G34" s="17"/>
      <c r="H34" s="17"/>
      <c r="I34" s="17"/>
      <c r="J34" s="18">
        <f t="shared" si="0"/>
        <v>0</v>
      </c>
      <c r="K34" s="20">
        <f>IFERROR(CONFIGURACION!$B$5,0)</f>
        <v>4000</v>
      </c>
      <c r="L34" s="20">
        <f t="shared" si="1"/>
        <v>0</v>
      </c>
      <c r="M34" s="42">
        <f>IFERROR(CONFIGURACION!$B$9,0)</f>
        <v>0.15</v>
      </c>
      <c r="N34" s="20">
        <f t="shared" si="2"/>
        <v>0</v>
      </c>
      <c r="AO34" s="26">
        <f t="shared" si="5"/>
        <v>0</v>
      </c>
      <c r="AP34" s="20">
        <f>IFERROR(ROUNDUP(O34/(1-CONFIGURACION!$B$6),0),0)</f>
        <v>0</v>
      </c>
      <c r="AQ34" s="26">
        <f>IFERROR(ROUNDUP(O34/(1-CONFIGURACION!$B$7),0),0)</f>
        <v>0</v>
      </c>
      <c r="AR34" s="20">
        <f>IFERROR(ROUNDUP(O34/(1-CONFIGURACION!$B$8),0),0)</f>
        <v>0</v>
      </c>
      <c r="AS34" s="43"/>
      <c r="AT34" s="30">
        <f t="shared" si="6"/>
        <v>0</v>
      </c>
      <c r="AU34" s="18"/>
    </row>
    <row r="35" spans="1:47">
      <c r="A35" s="17"/>
      <c r="B35" s="17"/>
      <c r="C35" s="17"/>
      <c r="D35" s="17"/>
      <c r="E35" s="20">
        <f>IFERROR(SUMIF(RECETAS!$B:$B,B35,RECETAS!$H:$H),0)</f>
        <v>0</v>
      </c>
      <c r="F35" s="17"/>
      <c r="G35" s="17"/>
      <c r="H35" s="17"/>
      <c r="I35" s="17"/>
      <c r="J35" s="18">
        <f t="shared" si="0"/>
        <v>0</v>
      </c>
      <c r="K35" s="20">
        <f>IFERROR(CONFIGURACION!$B$5,0)</f>
        <v>4000</v>
      </c>
      <c r="L35" s="20">
        <f t="shared" si="1"/>
        <v>0</v>
      </c>
      <c r="M35" s="42">
        <f>IFERROR(CONFIGURACION!$B$9,0)</f>
        <v>0.15</v>
      </c>
      <c r="N35" s="20">
        <f t="shared" si="2"/>
        <v>0</v>
      </c>
      <c r="AO35" s="26">
        <f t="shared" si="5"/>
        <v>0</v>
      </c>
      <c r="AP35" s="20">
        <f>IFERROR(ROUNDUP(O35/(1-CONFIGURACION!$B$6),0),0)</f>
        <v>0</v>
      </c>
      <c r="AQ35" s="26">
        <f>IFERROR(ROUNDUP(O35/(1-CONFIGURACION!$B$7),0),0)</f>
        <v>0</v>
      </c>
      <c r="AR35" s="20">
        <f>IFERROR(ROUNDUP(O35/(1-CONFIGURACION!$B$8),0),0)</f>
        <v>0</v>
      </c>
      <c r="AS35" s="43"/>
      <c r="AT35" s="30">
        <f t="shared" si="6"/>
        <v>0</v>
      </c>
      <c r="AU35" s="18"/>
    </row>
    <row r="36" spans="1:47">
      <c r="A36" s="17"/>
      <c r="B36" s="17"/>
      <c r="C36" s="17"/>
      <c r="D36" s="17"/>
      <c r="E36" s="20">
        <f>IFERROR(SUMIF(RECETAS!$B:$B,B36,RECETAS!$H:$H),0)</f>
        <v>0</v>
      </c>
      <c r="F36" s="17"/>
      <c r="G36" s="17"/>
      <c r="H36" s="17"/>
      <c r="I36" s="17"/>
      <c r="J36" s="18">
        <f t="shared" si="0"/>
        <v>0</v>
      </c>
      <c r="K36" s="20">
        <f>IFERROR(CONFIGURACION!$B$5,0)</f>
        <v>4000</v>
      </c>
      <c r="L36" s="20">
        <f t="shared" si="1"/>
        <v>0</v>
      </c>
      <c r="M36" s="42">
        <f>IFERROR(CONFIGURACION!$B$9,0)</f>
        <v>0.15</v>
      </c>
      <c r="N36" s="20">
        <f t="shared" si="2"/>
        <v>0</v>
      </c>
      <c r="AO36" s="26">
        <f t="shared" si="5"/>
        <v>0</v>
      </c>
      <c r="AP36" s="20">
        <f>IFERROR(ROUNDUP(O36/(1-CONFIGURACION!$B$6),0),0)</f>
        <v>0</v>
      </c>
      <c r="AQ36" s="26">
        <f>IFERROR(ROUNDUP(O36/(1-CONFIGURACION!$B$7),0),0)</f>
        <v>0</v>
      </c>
      <c r="AR36" s="20">
        <f>IFERROR(ROUNDUP(O36/(1-CONFIGURACION!$B$8),0),0)</f>
        <v>0</v>
      </c>
      <c r="AS36" s="43"/>
      <c r="AT36" s="30">
        <f t="shared" si="6"/>
        <v>0</v>
      </c>
      <c r="AU36" s="18"/>
    </row>
    <row r="37" spans="1:47">
      <c r="A37" s="17"/>
      <c r="B37" s="17"/>
      <c r="C37" s="17"/>
      <c r="D37" s="17"/>
      <c r="E37" s="20">
        <f>IFERROR(SUMIF(RECETAS!$B:$B,B37,RECETAS!$H:$H),0)</f>
        <v>0</v>
      </c>
      <c r="F37" s="17"/>
      <c r="G37" s="17"/>
      <c r="H37" s="17"/>
      <c r="I37" s="17"/>
      <c r="J37" s="18">
        <f t="shared" si="0"/>
        <v>0</v>
      </c>
      <c r="K37" s="20">
        <f>IFERROR(CONFIGURACION!$B$5,0)</f>
        <v>4000</v>
      </c>
      <c r="L37" s="20">
        <f t="shared" si="1"/>
        <v>0</v>
      </c>
      <c r="M37" s="42">
        <f>IFERROR(CONFIGURACION!$B$9,0)</f>
        <v>0.15</v>
      </c>
      <c r="N37" s="20">
        <f t="shared" si="2"/>
        <v>0</v>
      </c>
      <c r="AO37" s="26">
        <f t="shared" si="5"/>
        <v>0</v>
      </c>
      <c r="AP37" s="20">
        <f>IFERROR(ROUNDUP(O37/(1-CONFIGURACION!$B$6),0),0)</f>
        <v>0</v>
      </c>
      <c r="AQ37" s="26">
        <f>IFERROR(ROUNDUP(O37/(1-CONFIGURACION!$B$7),0),0)</f>
        <v>0</v>
      </c>
      <c r="AR37" s="20">
        <f>IFERROR(ROUNDUP(O37/(1-CONFIGURACION!$B$8),0),0)</f>
        <v>0</v>
      </c>
      <c r="AS37" s="43"/>
      <c r="AT37" s="30">
        <f t="shared" si="6"/>
        <v>0</v>
      </c>
      <c r="AU37" s="18"/>
    </row>
    <row r="38" spans="1:47">
      <c r="A38" s="17"/>
      <c r="B38" s="17"/>
      <c r="C38" s="17"/>
      <c r="D38" s="17"/>
      <c r="E38" s="20">
        <f>IFERROR(SUMIF(RECETAS!$B:$B,B38,RECETAS!$H:$H),0)</f>
        <v>0</v>
      </c>
      <c r="F38" s="17"/>
      <c r="G38" s="17"/>
      <c r="H38" s="17"/>
      <c r="I38" s="17"/>
      <c r="J38" s="18">
        <f t="shared" si="0"/>
        <v>0</v>
      </c>
      <c r="K38" s="20">
        <f>IFERROR(CONFIGURACION!$B$5,0)</f>
        <v>4000</v>
      </c>
      <c r="L38" s="20">
        <f t="shared" si="1"/>
        <v>0</v>
      </c>
      <c r="M38" s="42">
        <f>IFERROR(CONFIGURACION!$B$9,0)</f>
        <v>0.15</v>
      </c>
      <c r="N38" s="20">
        <f t="shared" si="2"/>
        <v>0</v>
      </c>
      <c r="AO38" s="26">
        <f t="shared" si="5"/>
        <v>0</v>
      </c>
      <c r="AP38" s="20">
        <f>IFERROR(ROUNDUP(O38/(1-CONFIGURACION!$B$6),0),0)</f>
        <v>0</v>
      </c>
      <c r="AQ38" s="26">
        <f>IFERROR(ROUNDUP(O38/(1-CONFIGURACION!$B$7),0),0)</f>
        <v>0</v>
      </c>
      <c r="AR38" s="20">
        <f>IFERROR(ROUNDUP(O38/(1-CONFIGURACION!$B$8),0),0)</f>
        <v>0</v>
      </c>
      <c r="AS38" s="43"/>
      <c r="AT38" s="30">
        <f t="shared" si="6"/>
        <v>0</v>
      </c>
      <c r="AU38" s="18"/>
    </row>
    <row r="39" spans="1:47">
      <c r="A39" s="17"/>
      <c r="B39" s="17"/>
      <c r="C39" s="17"/>
      <c r="D39" s="17"/>
      <c r="E39" s="20">
        <f>IFERROR(SUMIF(RECETAS!$B:$B,B39,RECETAS!$H:$H),0)</f>
        <v>0</v>
      </c>
      <c r="F39" s="17"/>
      <c r="G39" s="17"/>
      <c r="H39" s="17"/>
      <c r="I39" s="17"/>
      <c r="J39" s="18">
        <f t="shared" si="0"/>
        <v>0</v>
      </c>
      <c r="K39" s="20">
        <f>IFERROR(CONFIGURACION!$B$5,0)</f>
        <v>4000</v>
      </c>
      <c r="L39" s="20">
        <f t="shared" si="1"/>
        <v>0</v>
      </c>
      <c r="M39" s="42">
        <f>IFERROR(CONFIGURACION!$B$9,0)</f>
        <v>0.15</v>
      </c>
      <c r="N39" s="20">
        <f t="shared" si="2"/>
        <v>0</v>
      </c>
      <c r="AO39" s="26">
        <f t="shared" si="5"/>
        <v>0</v>
      </c>
      <c r="AP39" s="20">
        <f>IFERROR(ROUNDUP(O39/(1-CONFIGURACION!$B$6),0),0)</f>
        <v>0</v>
      </c>
      <c r="AQ39" s="26">
        <f>IFERROR(ROUNDUP(O39/(1-CONFIGURACION!$B$7),0),0)</f>
        <v>0</v>
      </c>
      <c r="AR39" s="20">
        <f>IFERROR(ROUNDUP(O39/(1-CONFIGURACION!$B$8),0),0)</f>
        <v>0</v>
      </c>
      <c r="AS39" s="43"/>
      <c r="AT39" s="30">
        <f t="shared" si="6"/>
        <v>0</v>
      </c>
      <c r="AU39" s="18"/>
    </row>
    <row r="40" spans="1:47">
      <c r="A40" s="17"/>
      <c r="B40" s="17"/>
      <c r="C40" s="17"/>
      <c r="D40" s="17"/>
      <c r="E40" s="20">
        <f>IFERROR(SUMIF(RECETAS!$B:$B,B40,RECETAS!$H:$H),0)</f>
        <v>0</v>
      </c>
      <c r="F40" s="17"/>
      <c r="G40" s="17"/>
      <c r="H40" s="17"/>
      <c r="I40" s="17"/>
      <c r="J40" s="18">
        <f t="shared" si="0"/>
        <v>0</v>
      </c>
      <c r="K40" s="20">
        <f>IFERROR(CONFIGURACION!$B$5,0)</f>
        <v>4000</v>
      </c>
      <c r="L40" s="20">
        <f t="shared" si="1"/>
        <v>0</v>
      </c>
      <c r="M40" s="42">
        <f>IFERROR(CONFIGURACION!$B$9,0)</f>
        <v>0.15</v>
      </c>
      <c r="N40" s="20">
        <f t="shared" si="2"/>
        <v>0</v>
      </c>
      <c r="AO40" s="26">
        <f t="shared" si="5"/>
        <v>0</v>
      </c>
      <c r="AP40" s="20">
        <f>IFERROR(ROUNDUP(O40/(1-CONFIGURACION!$B$6),0),0)</f>
        <v>0</v>
      </c>
      <c r="AQ40" s="26">
        <f>IFERROR(ROUNDUP(O40/(1-CONFIGURACION!$B$7),0),0)</f>
        <v>0</v>
      </c>
      <c r="AR40" s="20">
        <f>IFERROR(ROUNDUP(O40/(1-CONFIGURACION!$B$8),0),0)</f>
        <v>0</v>
      </c>
      <c r="AS40" s="43"/>
      <c r="AT40" s="30">
        <f t="shared" si="6"/>
        <v>0</v>
      </c>
      <c r="AU40" s="18"/>
    </row>
    <row r="41" spans="1:47">
      <c r="A41" s="17"/>
      <c r="B41" s="17"/>
      <c r="C41" s="17"/>
      <c r="D41" s="17"/>
      <c r="E41" s="20">
        <f>IFERROR(SUMIF(RECETAS!$B:$B,B41,RECETAS!$H:$H),0)</f>
        <v>0</v>
      </c>
      <c r="F41" s="17"/>
      <c r="G41" s="17"/>
      <c r="H41" s="17"/>
      <c r="I41" s="17"/>
      <c r="J41" s="18">
        <f t="shared" si="0"/>
        <v>0</v>
      </c>
      <c r="K41" s="20">
        <f>IFERROR(CONFIGURACION!$B$5,0)</f>
        <v>4000</v>
      </c>
      <c r="L41" s="20">
        <f t="shared" si="1"/>
        <v>0</v>
      </c>
      <c r="M41" s="42">
        <f>IFERROR(CONFIGURACION!$B$9,0)</f>
        <v>0.15</v>
      </c>
      <c r="N41" s="20">
        <f t="shared" si="2"/>
        <v>0</v>
      </c>
      <c r="AO41" s="26">
        <f t="shared" si="5"/>
        <v>0</v>
      </c>
      <c r="AP41" s="20">
        <f>IFERROR(ROUNDUP(O41/(1-CONFIGURACION!$B$6),0),0)</f>
        <v>0</v>
      </c>
      <c r="AQ41" s="26">
        <f>IFERROR(ROUNDUP(O41/(1-CONFIGURACION!$B$7),0),0)</f>
        <v>0</v>
      </c>
      <c r="AR41" s="20">
        <f>IFERROR(ROUNDUP(O41/(1-CONFIGURACION!$B$8),0),0)</f>
        <v>0</v>
      </c>
      <c r="AS41" s="43"/>
      <c r="AT41" s="30">
        <f t="shared" si="6"/>
        <v>0</v>
      </c>
      <c r="AU41" s="18"/>
    </row>
    <row r="42" spans="1:47">
      <c r="A42" s="17"/>
      <c r="B42" s="17"/>
      <c r="C42" s="17"/>
      <c r="D42" s="17"/>
      <c r="E42" s="20">
        <f>IFERROR(SUMIF(RECETAS!$B:$B,B42,RECETAS!$H:$H),0)</f>
        <v>0</v>
      </c>
      <c r="F42" s="17"/>
      <c r="G42" s="17"/>
      <c r="H42" s="17"/>
      <c r="I42" s="17"/>
      <c r="J42" s="18">
        <f t="shared" si="0"/>
        <v>0</v>
      </c>
      <c r="K42" s="20">
        <f>IFERROR(CONFIGURACION!$B$5,0)</f>
        <v>4000</v>
      </c>
      <c r="L42" s="20">
        <f t="shared" si="1"/>
        <v>0</v>
      </c>
      <c r="M42" s="42">
        <f>IFERROR(CONFIGURACION!$B$9,0)</f>
        <v>0.15</v>
      </c>
      <c r="N42" s="20">
        <f t="shared" si="2"/>
        <v>0</v>
      </c>
      <c r="AO42" s="26">
        <f t="shared" si="5"/>
        <v>0</v>
      </c>
      <c r="AP42" s="20">
        <f>IFERROR(ROUNDUP(O42/(1-CONFIGURACION!$B$6),0),0)</f>
        <v>0</v>
      </c>
      <c r="AQ42" s="26">
        <f>IFERROR(ROUNDUP(O42/(1-CONFIGURACION!$B$7),0),0)</f>
        <v>0</v>
      </c>
      <c r="AR42" s="20">
        <f>IFERROR(ROUNDUP(O42/(1-CONFIGURACION!$B$8),0),0)</f>
        <v>0</v>
      </c>
      <c r="AS42" s="43"/>
      <c r="AT42" s="30">
        <f t="shared" si="6"/>
        <v>0</v>
      </c>
      <c r="AU42" s="18"/>
    </row>
    <row r="43" spans="1:47">
      <c r="A43" s="17"/>
      <c r="B43" s="17"/>
      <c r="C43" s="17"/>
      <c r="D43" s="17"/>
      <c r="E43" s="20">
        <f>IFERROR(SUMIF(RECETAS!$B:$B,B43,RECETAS!$H:$H),0)</f>
        <v>0</v>
      </c>
      <c r="F43" s="17"/>
      <c r="G43" s="17"/>
      <c r="H43" s="17"/>
      <c r="I43" s="17"/>
      <c r="J43" s="18">
        <f t="shared" si="0"/>
        <v>0</v>
      </c>
      <c r="K43" s="20">
        <f>IFERROR(CONFIGURACION!$B$5,0)</f>
        <v>4000</v>
      </c>
      <c r="L43" s="20">
        <f t="shared" si="1"/>
        <v>0</v>
      </c>
      <c r="M43" s="42">
        <f>IFERROR(CONFIGURACION!$B$9,0)</f>
        <v>0.15</v>
      </c>
      <c r="N43" s="20">
        <f t="shared" si="2"/>
        <v>0</v>
      </c>
      <c r="AO43" s="26">
        <f t="shared" si="5"/>
        <v>0</v>
      </c>
      <c r="AP43" s="20">
        <f>IFERROR(ROUNDUP(O43/(1-CONFIGURACION!$B$6),0),0)</f>
        <v>0</v>
      </c>
      <c r="AQ43" s="26">
        <f>IFERROR(ROUNDUP(O43/(1-CONFIGURACION!$B$7),0),0)</f>
        <v>0</v>
      </c>
      <c r="AR43" s="20">
        <f>IFERROR(ROUNDUP(O43/(1-CONFIGURACION!$B$8),0),0)</f>
        <v>0</v>
      </c>
      <c r="AS43" s="43"/>
      <c r="AT43" s="30">
        <f t="shared" si="6"/>
        <v>0</v>
      </c>
      <c r="AU43" s="18"/>
    </row>
    <row r="44" spans="1:47">
      <c r="A44" s="17"/>
      <c r="B44" s="17"/>
      <c r="C44" s="17"/>
      <c r="D44" s="17"/>
      <c r="E44" s="20">
        <f>IFERROR(SUMIF(RECETAS!$B:$B,B44,RECETAS!$H:$H),0)</f>
        <v>0</v>
      </c>
      <c r="F44" s="17"/>
      <c r="G44" s="17"/>
      <c r="H44" s="17"/>
      <c r="I44" s="17"/>
      <c r="J44" s="18">
        <f t="shared" si="0"/>
        <v>0</v>
      </c>
      <c r="K44" s="20">
        <f>IFERROR(CONFIGURACION!$B$5,0)</f>
        <v>4000</v>
      </c>
      <c r="L44" s="20">
        <f t="shared" si="1"/>
        <v>0</v>
      </c>
      <c r="M44" s="42">
        <f>IFERROR(CONFIGURACION!$B$9,0)</f>
        <v>0.15</v>
      </c>
      <c r="N44" s="20">
        <f t="shared" si="2"/>
        <v>0</v>
      </c>
      <c r="AO44" s="26">
        <f t="shared" si="5"/>
        <v>0</v>
      </c>
      <c r="AP44" s="20">
        <f>IFERROR(ROUNDUP(O44/(1-CONFIGURACION!$B$6),0),0)</f>
        <v>0</v>
      </c>
      <c r="AQ44" s="26">
        <f>IFERROR(ROUNDUP(O44/(1-CONFIGURACION!$B$7),0),0)</f>
        <v>0</v>
      </c>
      <c r="AR44" s="20">
        <f>IFERROR(ROUNDUP(O44/(1-CONFIGURACION!$B$8),0),0)</f>
        <v>0</v>
      </c>
      <c r="AS44" s="43"/>
      <c r="AT44" s="30">
        <f t="shared" si="6"/>
        <v>0</v>
      </c>
      <c r="AU44" s="18"/>
    </row>
    <row r="45" spans="1:47">
      <c r="A45" s="17"/>
      <c r="B45" s="17"/>
      <c r="C45" s="17"/>
      <c r="D45" s="17"/>
      <c r="E45" s="20">
        <f>IFERROR(SUMIF(RECETAS!$B:$B,B45,RECETAS!$H:$H),0)</f>
        <v>0</v>
      </c>
      <c r="F45" s="17"/>
      <c r="G45" s="17"/>
      <c r="H45" s="17"/>
      <c r="I45" s="17"/>
      <c r="J45" s="18">
        <f t="shared" si="0"/>
        <v>0</v>
      </c>
      <c r="K45" s="20">
        <f>IFERROR(CONFIGURACION!$B$5,0)</f>
        <v>4000</v>
      </c>
      <c r="L45" s="20">
        <f t="shared" si="1"/>
        <v>0</v>
      </c>
      <c r="M45" s="42">
        <f>IFERROR(CONFIGURACION!$B$9,0)</f>
        <v>0.15</v>
      </c>
      <c r="N45" s="20">
        <f t="shared" si="2"/>
        <v>0</v>
      </c>
      <c r="AO45" s="26">
        <f t="shared" si="5"/>
        <v>0</v>
      </c>
      <c r="AP45" s="20">
        <f>IFERROR(ROUNDUP(O45/(1-CONFIGURACION!$B$6),0),0)</f>
        <v>0</v>
      </c>
      <c r="AQ45" s="26">
        <f>IFERROR(ROUNDUP(O45/(1-CONFIGURACION!$B$7),0),0)</f>
        <v>0</v>
      </c>
      <c r="AR45" s="20">
        <f>IFERROR(ROUNDUP(O45/(1-CONFIGURACION!$B$8),0),0)</f>
        <v>0</v>
      </c>
      <c r="AS45" s="43"/>
      <c r="AT45" s="30">
        <f t="shared" si="6"/>
        <v>0</v>
      </c>
      <c r="AU45" s="18"/>
    </row>
    <row r="46" spans="1:47">
      <c r="A46" s="17"/>
      <c r="B46" s="17"/>
      <c r="C46" s="17"/>
      <c r="D46" s="17"/>
      <c r="E46" s="20">
        <f>IFERROR(SUMIF(RECETAS!$B:$B,B46,RECETAS!$H:$H),0)</f>
        <v>0</v>
      </c>
      <c r="F46" s="17"/>
      <c r="G46" s="17"/>
      <c r="H46" s="17"/>
      <c r="I46" s="17"/>
      <c r="J46" s="18">
        <f t="shared" si="0"/>
        <v>0</v>
      </c>
      <c r="K46" s="20">
        <f>IFERROR(CONFIGURACION!$B$5,0)</f>
        <v>4000</v>
      </c>
      <c r="L46" s="20">
        <f t="shared" si="1"/>
        <v>0</v>
      </c>
      <c r="M46" s="42">
        <f>IFERROR(CONFIGURACION!$B$9,0)</f>
        <v>0.15</v>
      </c>
      <c r="N46" s="20">
        <f t="shared" si="2"/>
        <v>0</v>
      </c>
      <c r="AO46" s="26">
        <f t="shared" si="5"/>
        <v>0</v>
      </c>
      <c r="AP46" s="20">
        <f>IFERROR(ROUNDUP(O46/(1-CONFIGURACION!$B$6),0),0)</f>
        <v>0</v>
      </c>
      <c r="AQ46" s="26">
        <f>IFERROR(ROUNDUP(O46/(1-CONFIGURACION!$B$7),0),0)</f>
        <v>0</v>
      </c>
      <c r="AR46" s="20">
        <f>IFERROR(ROUNDUP(O46/(1-CONFIGURACION!$B$8),0),0)</f>
        <v>0</v>
      </c>
      <c r="AS46" s="43"/>
      <c r="AT46" s="30">
        <f t="shared" si="6"/>
        <v>0</v>
      </c>
      <c r="AU46" s="18"/>
    </row>
    <row r="47" spans="1:47">
      <c r="A47" s="17"/>
      <c r="B47" s="17"/>
      <c r="C47" s="17"/>
      <c r="D47" s="17"/>
      <c r="E47" s="20">
        <f>IFERROR(SUMIF(RECETAS!$B:$B,B47,RECETAS!$H:$H),0)</f>
        <v>0</v>
      </c>
      <c r="F47" s="17"/>
      <c r="G47" s="17"/>
      <c r="H47" s="17"/>
      <c r="I47" s="17"/>
      <c r="J47" s="18">
        <f t="shared" si="0"/>
        <v>0</v>
      </c>
      <c r="K47" s="20">
        <f>IFERROR(CONFIGURACION!$B$5,0)</f>
        <v>4000</v>
      </c>
      <c r="L47" s="20">
        <f t="shared" si="1"/>
        <v>0</v>
      </c>
      <c r="M47" s="42">
        <f>IFERROR(CONFIGURACION!$B$9,0)</f>
        <v>0.15</v>
      </c>
      <c r="N47" s="20">
        <f t="shared" si="2"/>
        <v>0</v>
      </c>
      <c r="AO47" s="26">
        <f t="shared" si="5"/>
        <v>0</v>
      </c>
      <c r="AP47" s="20">
        <f>IFERROR(ROUNDUP(O47/(1-CONFIGURACION!$B$6),0),0)</f>
        <v>0</v>
      </c>
      <c r="AQ47" s="26">
        <f>IFERROR(ROUNDUP(O47/(1-CONFIGURACION!$B$7),0),0)</f>
        <v>0</v>
      </c>
      <c r="AR47" s="20">
        <f>IFERROR(ROUNDUP(O47/(1-CONFIGURACION!$B$8),0),0)</f>
        <v>0</v>
      </c>
      <c r="AS47" s="43"/>
      <c r="AT47" s="30">
        <f t="shared" si="6"/>
        <v>0</v>
      </c>
      <c r="AU47" s="18"/>
    </row>
    <row r="48" spans="1:47">
      <c r="A48" s="17"/>
      <c r="B48" s="17"/>
      <c r="C48" s="17"/>
      <c r="D48" s="17"/>
      <c r="E48" s="20">
        <f>IFERROR(SUMIF(RECETAS!$B:$B,B48,RECETAS!$H:$H),0)</f>
        <v>0</v>
      </c>
      <c r="F48" s="17"/>
      <c r="G48" s="17"/>
      <c r="H48" s="17"/>
      <c r="I48" s="17"/>
      <c r="J48" s="18">
        <f t="shared" si="0"/>
        <v>0</v>
      </c>
      <c r="K48" s="20">
        <f>IFERROR(CONFIGURACION!$B$5,0)</f>
        <v>4000</v>
      </c>
      <c r="L48" s="20">
        <f t="shared" si="1"/>
        <v>0</v>
      </c>
      <c r="M48" s="42">
        <f>IFERROR(CONFIGURACION!$B$9,0)</f>
        <v>0.15</v>
      </c>
      <c r="N48" s="20">
        <f t="shared" si="2"/>
        <v>0</v>
      </c>
      <c r="AO48" s="26">
        <f t="shared" si="5"/>
        <v>0</v>
      </c>
      <c r="AP48" s="20">
        <f>IFERROR(ROUNDUP(O48/(1-CONFIGURACION!$B$6),0),0)</f>
        <v>0</v>
      </c>
      <c r="AQ48" s="26">
        <f>IFERROR(ROUNDUP(O48/(1-CONFIGURACION!$B$7),0),0)</f>
        <v>0</v>
      </c>
      <c r="AR48" s="20">
        <f>IFERROR(ROUNDUP(O48/(1-CONFIGURACION!$B$8),0),0)</f>
        <v>0</v>
      </c>
      <c r="AS48" s="43"/>
      <c r="AT48" s="30">
        <f t="shared" si="6"/>
        <v>0</v>
      </c>
      <c r="AU48" s="18"/>
    </row>
    <row r="49" spans="1:47">
      <c r="A49" s="17"/>
      <c r="B49" s="17"/>
      <c r="C49" s="17"/>
      <c r="D49" s="17"/>
      <c r="E49" s="20">
        <f>IFERROR(SUMIF(RECETAS!$B:$B,B49,RECETAS!$H:$H),0)</f>
        <v>0</v>
      </c>
      <c r="F49" s="17"/>
      <c r="G49" s="17"/>
      <c r="H49" s="17"/>
      <c r="I49" s="17"/>
      <c r="J49" s="18">
        <f t="shared" si="0"/>
        <v>0</v>
      </c>
      <c r="K49" s="20">
        <f>IFERROR(CONFIGURACION!$B$5,0)</f>
        <v>4000</v>
      </c>
      <c r="L49" s="20">
        <f t="shared" si="1"/>
        <v>0</v>
      </c>
      <c r="M49" s="42">
        <f>IFERROR(CONFIGURACION!$B$9,0)</f>
        <v>0.15</v>
      </c>
      <c r="N49" s="20">
        <f t="shared" si="2"/>
        <v>0</v>
      </c>
      <c r="AO49" s="26">
        <f t="shared" si="5"/>
        <v>0</v>
      </c>
      <c r="AP49" s="20">
        <f>IFERROR(ROUNDUP(O49/(1-CONFIGURACION!$B$6),0),0)</f>
        <v>0</v>
      </c>
      <c r="AQ49" s="26">
        <f>IFERROR(ROUNDUP(O49/(1-CONFIGURACION!$B$7),0),0)</f>
        <v>0</v>
      </c>
      <c r="AR49" s="20">
        <f>IFERROR(ROUNDUP(O49/(1-CONFIGURACION!$B$8),0),0)</f>
        <v>0</v>
      </c>
      <c r="AS49" s="43"/>
      <c r="AT49" s="30">
        <f t="shared" si="6"/>
        <v>0</v>
      </c>
      <c r="AU49" s="18"/>
    </row>
    <row r="50" spans="1:47">
      <c r="A50" s="17"/>
      <c r="B50" s="17"/>
      <c r="C50" s="17"/>
      <c r="D50" s="17"/>
      <c r="E50" s="20">
        <f>IFERROR(SUMIF(RECETAS!$B:$B,B50,RECETAS!$H:$H),0)</f>
        <v>0</v>
      </c>
      <c r="F50" s="17"/>
      <c r="G50" s="17"/>
      <c r="H50" s="17"/>
      <c r="I50" s="17"/>
      <c r="J50" s="18">
        <f t="shared" si="0"/>
        <v>0</v>
      </c>
      <c r="K50" s="20">
        <f>IFERROR(CONFIGURACION!$B$5,0)</f>
        <v>4000</v>
      </c>
      <c r="L50" s="20">
        <f t="shared" si="1"/>
        <v>0</v>
      </c>
      <c r="M50" s="42">
        <f>IFERROR(CONFIGURACION!$B$9,0)</f>
        <v>0.15</v>
      </c>
      <c r="N50" s="20">
        <f t="shared" si="2"/>
        <v>0</v>
      </c>
      <c r="AO50" s="26">
        <f t="shared" si="5"/>
        <v>0</v>
      </c>
      <c r="AP50" s="20">
        <f>IFERROR(ROUNDUP(O50/(1-CONFIGURACION!$B$6),0),0)</f>
        <v>0</v>
      </c>
      <c r="AQ50" s="26">
        <f>IFERROR(ROUNDUP(O50/(1-CONFIGURACION!$B$7),0),0)</f>
        <v>0</v>
      </c>
      <c r="AR50" s="20">
        <f>IFERROR(ROUNDUP(O50/(1-CONFIGURACION!$B$8),0),0)</f>
        <v>0</v>
      </c>
      <c r="AS50" s="43"/>
      <c r="AT50" s="30">
        <f t="shared" si="6"/>
        <v>0</v>
      </c>
      <c r="AU50" s="18"/>
    </row>
    <row r="51" spans="1:47">
      <c r="A51" s="17"/>
      <c r="B51" s="17"/>
      <c r="C51" s="17"/>
      <c r="D51" s="17"/>
      <c r="E51" s="20">
        <f>IFERROR(SUMIF(RECETAS!$B:$B,B51,RECETAS!$H:$H),0)</f>
        <v>0</v>
      </c>
      <c r="F51" s="17"/>
      <c r="G51" s="17"/>
      <c r="H51" s="17"/>
      <c r="I51" s="17"/>
      <c r="J51" s="18">
        <f t="shared" si="0"/>
        <v>0</v>
      </c>
      <c r="K51" s="20">
        <f>IFERROR(CONFIGURACION!$B$5,0)</f>
        <v>4000</v>
      </c>
      <c r="L51" s="20">
        <f t="shared" si="1"/>
        <v>0</v>
      </c>
      <c r="M51" s="42">
        <f>IFERROR(CONFIGURACION!$B$9,0)</f>
        <v>0.15</v>
      </c>
      <c r="N51" s="20">
        <f t="shared" si="2"/>
        <v>0</v>
      </c>
      <c r="AO51" s="26">
        <f t="shared" si="5"/>
        <v>0</v>
      </c>
      <c r="AP51" s="20">
        <f>IFERROR(ROUNDUP(O51/(1-CONFIGURACION!$B$6),0),0)</f>
        <v>0</v>
      </c>
      <c r="AQ51" s="26">
        <f>IFERROR(ROUNDUP(O51/(1-CONFIGURACION!$B$7),0),0)</f>
        <v>0</v>
      </c>
      <c r="AR51" s="20">
        <f>IFERROR(ROUNDUP(O51/(1-CONFIGURACION!$B$8),0),0)</f>
        <v>0</v>
      </c>
      <c r="AS51" s="43"/>
      <c r="AT51" s="30">
        <f t="shared" si="6"/>
        <v>0</v>
      </c>
      <c r="AU51" s="18"/>
    </row>
    <row r="52" spans="1:47">
      <c r="A52" s="17"/>
      <c r="B52" s="17"/>
      <c r="C52" s="17"/>
      <c r="D52" s="17"/>
      <c r="E52" s="20">
        <f>IFERROR(SUMIF(RECETAS!$B:$B,B52,RECETAS!$H:$H),0)</f>
        <v>0</v>
      </c>
      <c r="F52" s="17"/>
      <c r="G52" s="17"/>
      <c r="H52" s="17"/>
      <c r="I52" s="17"/>
      <c r="J52" s="18">
        <f t="shared" si="0"/>
        <v>0</v>
      </c>
      <c r="K52" s="20">
        <f>IFERROR(CONFIGURACION!$B$5,0)</f>
        <v>4000</v>
      </c>
      <c r="L52" s="20">
        <f t="shared" si="1"/>
        <v>0</v>
      </c>
      <c r="M52" s="42">
        <f>IFERROR(CONFIGURACION!$B$9,0)</f>
        <v>0.15</v>
      </c>
      <c r="N52" s="20">
        <f t="shared" si="2"/>
        <v>0</v>
      </c>
      <c r="AO52" s="26">
        <f t="shared" si="5"/>
        <v>0</v>
      </c>
      <c r="AP52" s="20">
        <f>IFERROR(ROUNDUP(O52/(1-CONFIGURACION!$B$6),0),0)</f>
        <v>0</v>
      </c>
      <c r="AQ52" s="26">
        <f>IFERROR(ROUNDUP(O52/(1-CONFIGURACION!$B$7),0),0)</f>
        <v>0</v>
      </c>
      <c r="AR52" s="20">
        <f>IFERROR(ROUNDUP(O52/(1-CONFIGURACION!$B$8),0),0)</f>
        <v>0</v>
      </c>
      <c r="AS52" s="43"/>
      <c r="AT52" s="30">
        <f t="shared" si="6"/>
        <v>0</v>
      </c>
      <c r="AU52" s="18"/>
    </row>
    <row r="53" spans="1:47">
      <c r="A53" s="17"/>
      <c r="B53" s="17"/>
      <c r="C53" s="17"/>
      <c r="D53" s="17"/>
      <c r="E53" s="20">
        <f>IFERROR(SUMIF(RECETAS!$B:$B,B53,RECETAS!$H:$H),0)</f>
        <v>0</v>
      </c>
      <c r="F53" s="17"/>
      <c r="G53" s="17"/>
      <c r="H53" s="17"/>
      <c r="I53" s="17"/>
      <c r="J53" s="18">
        <f t="shared" si="0"/>
        <v>0</v>
      </c>
      <c r="K53" s="20">
        <f>IFERROR(CONFIGURACION!$B$5,0)</f>
        <v>4000</v>
      </c>
      <c r="L53" s="20">
        <f t="shared" si="1"/>
        <v>0</v>
      </c>
      <c r="M53" s="42">
        <f>IFERROR(CONFIGURACION!$B$9,0)</f>
        <v>0.15</v>
      </c>
      <c r="N53" s="20">
        <f t="shared" si="2"/>
        <v>0</v>
      </c>
      <c r="AO53" s="26">
        <f t="shared" si="5"/>
        <v>0</v>
      </c>
      <c r="AP53" s="20">
        <f>IFERROR(ROUNDUP(O53/(1-CONFIGURACION!$B$6),0),0)</f>
        <v>0</v>
      </c>
      <c r="AQ53" s="26">
        <f>IFERROR(ROUNDUP(O53/(1-CONFIGURACION!$B$7),0),0)</f>
        <v>0</v>
      </c>
      <c r="AR53" s="20">
        <f>IFERROR(ROUNDUP(O53/(1-CONFIGURACION!$B$8),0),0)</f>
        <v>0</v>
      </c>
      <c r="AS53" s="43"/>
      <c r="AT53" s="30">
        <f t="shared" si="6"/>
        <v>0</v>
      </c>
      <c r="AU53" s="18"/>
    </row>
    <row r="54" spans="1:47">
      <c r="A54" s="17"/>
      <c r="B54" s="17"/>
      <c r="C54" s="17"/>
      <c r="D54" s="17"/>
      <c r="E54" s="20">
        <f>IFERROR(SUMIF(RECETAS!$B:$B,B54,RECETAS!$H:$H),0)</f>
        <v>0</v>
      </c>
      <c r="F54" s="17"/>
      <c r="G54" s="17"/>
      <c r="H54" s="17"/>
      <c r="I54" s="17"/>
      <c r="J54" s="18">
        <f t="shared" si="0"/>
        <v>0</v>
      </c>
      <c r="K54" s="20">
        <f>IFERROR(CONFIGURACION!$B$5,0)</f>
        <v>4000</v>
      </c>
      <c r="L54" s="20">
        <f t="shared" si="1"/>
        <v>0</v>
      </c>
      <c r="M54" s="42">
        <f>IFERROR(CONFIGURACION!$B$9,0)</f>
        <v>0.15</v>
      </c>
      <c r="N54" s="20">
        <f t="shared" si="2"/>
        <v>0</v>
      </c>
      <c r="AO54" s="26">
        <f t="shared" si="5"/>
        <v>0</v>
      </c>
      <c r="AP54" s="20">
        <f>IFERROR(ROUNDUP(O54/(1-CONFIGURACION!$B$6),0),0)</f>
        <v>0</v>
      </c>
      <c r="AQ54" s="26">
        <f>IFERROR(ROUNDUP(O54/(1-CONFIGURACION!$B$7),0),0)</f>
        <v>0</v>
      </c>
      <c r="AR54" s="20">
        <f>IFERROR(ROUNDUP(O54/(1-CONFIGURACION!$B$8),0),0)</f>
        <v>0</v>
      </c>
      <c r="AS54" s="43"/>
      <c r="AT54" s="30">
        <f t="shared" si="6"/>
        <v>0</v>
      </c>
      <c r="AU54" s="18"/>
    </row>
    <row r="55" spans="1:47">
      <c r="A55" s="17"/>
      <c r="B55" s="17"/>
      <c r="C55" s="17"/>
      <c r="D55" s="17"/>
      <c r="E55" s="20">
        <f>IFERROR(SUMIF(RECETAS!$B:$B,B55,RECETAS!$H:$H),0)</f>
        <v>0</v>
      </c>
      <c r="F55" s="17"/>
      <c r="G55" s="17"/>
      <c r="H55" s="17"/>
      <c r="I55" s="17"/>
      <c r="J55" s="18">
        <f t="shared" si="0"/>
        <v>0</v>
      </c>
      <c r="K55" s="20">
        <f>IFERROR(CONFIGURACION!$B$5,0)</f>
        <v>4000</v>
      </c>
      <c r="L55" s="20">
        <f t="shared" si="1"/>
        <v>0</v>
      </c>
      <c r="M55" s="42">
        <f>IFERROR(CONFIGURACION!$B$9,0)</f>
        <v>0.15</v>
      </c>
      <c r="N55" s="20">
        <f t="shared" si="2"/>
        <v>0</v>
      </c>
      <c r="AO55" s="26">
        <f t="shared" si="5"/>
        <v>0</v>
      </c>
      <c r="AP55" s="20">
        <f>IFERROR(ROUNDUP(O55/(1-CONFIGURACION!$B$6),0),0)</f>
        <v>0</v>
      </c>
      <c r="AQ55" s="26">
        <f>IFERROR(ROUNDUP(O55/(1-CONFIGURACION!$B$7),0),0)</f>
        <v>0</v>
      </c>
      <c r="AR55" s="20">
        <f>IFERROR(ROUNDUP(O55/(1-CONFIGURACION!$B$8),0),0)</f>
        <v>0</v>
      </c>
      <c r="AS55" s="43"/>
      <c r="AT55" s="30">
        <f t="shared" si="6"/>
        <v>0</v>
      </c>
      <c r="AU55" s="18"/>
    </row>
    <row r="56" spans="1:47">
      <c r="A56" s="17"/>
      <c r="B56" s="17"/>
      <c r="C56" s="17"/>
      <c r="D56" s="17"/>
      <c r="E56" s="20">
        <f>IFERROR(SUMIF(RECETAS!$B:$B,B56,RECETAS!$H:$H),0)</f>
        <v>0</v>
      </c>
      <c r="F56" s="17"/>
      <c r="G56" s="17"/>
      <c r="H56" s="17"/>
      <c r="I56" s="17"/>
      <c r="J56" s="18">
        <f t="shared" si="0"/>
        <v>0</v>
      </c>
      <c r="K56" s="20">
        <f>IFERROR(CONFIGURACION!$B$5,0)</f>
        <v>4000</v>
      </c>
      <c r="L56" s="20">
        <f t="shared" si="1"/>
        <v>0</v>
      </c>
      <c r="M56" s="42">
        <f>IFERROR(CONFIGURACION!$B$9,0)</f>
        <v>0.15</v>
      </c>
      <c r="N56" s="20">
        <f t="shared" si="2"/>
        <v>0</v>
      </c>
      <c r="AO56" s="26">
        <f t="shared" si="5"/>
        <v>0</v>
      </c>
      <c r="AP56" s="20">
        <f>IFERROR(ROUNDUP(O56/(1-CONFIGURACION!$B$6),0),0)</f>
        <v>0</v>
      </c>
      <c r="AQ56" s="26">
        <f>IFERROR(ROUNDUP(O56/(1-CONFIGURACION!$B$7),0),0)</f>
        <v>0</v>
      </c>
      <c r="AR56" s="20">
        <f>IFERROR(ROUNDUP(O56/(1-CONFIGURACION!$B$8),0),0)</f>
        <v>0</v>
      </c>
      <c r="AS56" s="43"/>
      <c r="AT56" s="30">
        <f t="shared" si="6"/>
        <v>0</v>
      </c>
      <c r="AU56" s="18"/>
    </row>
    <row r="57" spans="1:47">
      <c r="A57" s="17"/>
      <c r="B57" s="17"/>
      <c r="C57" s="17"/>
      <c r="D57" s="17"/>
      <c r="E57" s="20">
        <f>IFERROR(SUMIF(RECETAS!$B:$B,B57,RECETAS!$H:$H),0)</f>
        <v>0</v>
      </c>
      <c r="F57" s="17"/>
      <c r="G57" s="17"/>
      <c r="H57" s="17"/>
      <c r="I57" s="17"/>
      <c r="J57" s="18">
        <f t="shared" si="0"/>
        <v>0</v>
      </c>
      <c r="K57" s="20">
        <f>IFERROR(CONFIGURACION!$B$5,0)</f>
        <v>4000</v>
      </c>
      <c r="L57" s="20">
        <f t="shared" si="1"/>
        <v>0</v>
      </c>
      <c r="M57" s="42">
        <f>IFERROR(CONFIGURACION!$B$9,0)</f>
        <v>0.15</v>
      </c>
      <c r="N57" s="20">
        <f t="shared" si="2"/>
        <v>0</v>
      </c>
      <c r="AO57" s="26">
        <f t="shared" si="5"/>
        <v>0</v>
      </c>
      <c r="AP57" s="20">
        <f>IFERROR(ROUNDUP(O57/(1-CONFIGURACION!$B$6),0),0)</f>
        <v>0</v>
      </c>
      <c r="AQ57" s="26">
        <f>IFERROR(ROUNDUP(O57/(1-CONFIGURACION!$B$7),0),0)</f>
        <v>0</v>
      </c>
      <c r="AR57" s="20">
        <f>IFERROR(ROUNDUP(O57/(1-CONFIGURACION!$B$8),0),0)</f>
        <v>0</v>
      </c>
      <c r="AS57" s="43"/>
      <c r="AT57" s="30">
        <f t="shared" si="6"/>
        <v>0</v>
      </c>
      <c r="AU57" s="18"/>
    </row>
    <row r="58" spans="1:47">
      <c r="A58" s="17"/>
      <c r="B58" s="17"/>
      <c r="C58" s="17"/>
      <c r="D58" s="17"/>
      <c r="E58" s="20">
        <f>IFERROR(SUMIF(RECETAS!$B:$B,B58,RECETAS!$H:$H),0)</f>
        <v>0</v>
      </c>
      <c r="F58" s="17"/>
      <c r="G58" s="17"/>
      <c r="H58" s="17"/>
      <c r="I58" s="17"/>
      <c r="J58" s="18">
        <f t="shared" si="0"/>
        <v>0</v>
      </c>
      <c r="K58" s="20">
        <f>IFERROR(CONFIGURACION!$B$5,0)</f>
        <v>4000</v>
      </c>
      <c r="L58" s="20">
        <f t="shared" si="1"/>
        <v>0</v>
      </c>
      <c r="M58" s="42">
        <f>IFERROR(CONFIGURACION!$B$9,0)</f>
        <v>0.15</v>
      </c>
      <c r="N58" s="20">
        <f t="shared" si="2"/>
        <v>0</v>
      </c>
      <c r="AO58" s="26">
        <f t="shared" si="5"/>
        <v>0</v>
      </c>
      <c r="AP58" s="20">
        <f>IFERROR(ROUNDUP(O58/(1-CONFIGURACION!$B$6),0),0)</f>
        <v>0</v>
      </c>
      <c r="AQ58" s="26">
        <f>IFERROR(ROUNDUP(O58/(1-CONFIGURACION!$B$7),0),0)</f>
        <v>0</v>
      </c>
      <c r="AR58" s="20">
        <f>IFERROR(ROUNDUP(O58/(1-CONFIGURACION!$B$8),0),0)</f>
        <v>0</v>
      </c>
      <c r="AS58" s="43"/>
      <c r="AT58" s="30">
        <f t="shared" si="6"/>
        <v>0</v>
      </c>
      <c r="AU58" s="18"/>
    </row>
    <row r="59" spans="1:47">
      <c r="A59" s="17"/>
      <c r="B59" s="17"/>
      <c r="C59" s="17"/>
      <c r="D59" s="17"/>
      <c r="E59" s="20">
        <f>IFERROR(SUMIF(RECETAS!$B:$B,B59,RECETAS!$H:$H),0)</f>
        <v>0</v>
      </c>
      <c r="F59" s="17"/>
      <c r="G59" s="17"/>
      <c r="H59" s="17"/>
      <c r="I59" s="17"/>
      <c r="J59" s="18">
        <f t="shared" si="0"/>
        <v>0</v>
      </c>
      <c r="K59" s="20">
        <f>IFERROR(CONFIGURACION!$B$5,0)</f>
        <v>4000</v>
      </c>
      <c r="L59" s="20">
        <f t="shared" si="1"/>
        <v>0</v>
      </c>
      <c r="M59" s="42">
        <f>IFERROR(CONFIGURACION!$B$9,0)</f>
        <v>0.15</v>
      </c>
      <c r="N59" s="20">
        <f t="shared" si="2"/>
        <v>0</v>
      </c>
      <c r="AO59" s="26">
        <f t="shared" si="5"/>
        <v>0</v>
      </c>
      <c r="AP59" s="20">
        <f>IFERROR(ROUNDUP(O59/(1-CONFIGURACION!$B$6),0),0)</f>
        <v>0</v>
      </c>
      <c r="AQ59" s="26">
        <f>IFERROR(ROUNDUP(O59/(1-CONFIGURACION!$B$7),0),0)</f>
        <v>0</v>
      </c>
      <c r="AR59" s="20">
        <f>IFERROR(ROUNDUP(O59/(1-CONFIGURACION!$B$8),0),0)</f>
        <v>0</v>
      </c>
      <c r="AS59" s="43"/>
      <c r="AT59" s="30">
        <f t="shared" si="6"/>
        <v>0</v>
      </c>
      <c r="AU59" s="18"/>
    </row>
    <row r="60" spans="1:47">
      <c r="A60" s="17"/>
      <c r="B60" s="17"/>
      <c r="C60" s="17"/>
      <c r="D60" s="17"/>
      <c r="E60" s="20">
        <f>IFERROR(SUMIF(RECETAS!$B:$B,B60,RECETAS!$H:$H),0)</f>
        <v>0</v>
      </c>
      <c r="F60" s="17"/>
      <c r="G60" s="17"/>
      <c r="H60" s="17"/>
      <c r="I60" s="17"/>
      <c r="J60" s="18">
        <f t="shared" si="0"/>
        <v>0</v>
      </c>
      <c r="K60" s="20">
        <f>IFERROR(CONFIGURACION!$B$5,0)</f>
        <v>4000</v>
      </c>
      <c r="L60" s="20">
        <f t="shared" si="1"/>
        <v>0</v>
      </c>
      <c r="M60" s="42">
        <f>IFERROR(CONFIGURACION!$B$9,0)</f>
        <v>0.15</v>
      </c>
      <c r="N60" s="20">
        <f t="shared" si="2"/>
        <v>0</v>
      </c>
      <c r="AO60" s="26">
        <f t="shared" si="5"/>
        <v>0</v>
      </c>
      <c r="AP60" s="20">
        <f>IFERROR(ROUNDUP(O60/(1-CONFIGURACION!$B$6),0),0)</f>
        <v>0</v>
      </c>
      <c r="AQ60" s="26">
        <f>IFERROR(ROUNDUP(O60/(1-CONFIGURACION!$B$7),0),0)</f>
        <v>0</v>
      </c>
      <c r="AR60" s="20">
        <f>IFERROR(ROUNDUP(O60/(1-CONFIGURACION!$B$8),0),0)</f>
        <v>0</v>
      </c>
      <c r="AS60" s="43"/>
      <c r="AT60" s="30">
        <f t="shared" si="6"/>
        <v>0</v>
      </c>
      <c r="AU60" s="18"/>
    </row>
    <row r="61" spans="1:47">
      <c r="A61" s="17"/>
      <c r="B61" s="17"/>
      <c r="C61" s="17"/>
      <c r="D61" s="17"/>
      <c r="E61" s="20">
        <f>IFERROR(SUMIF(RECETAS!$B:$B,B61,RECETAS!$H:$H),0)</f>
        <v>0</v>
      </c>
      <c r="F61" s="17"/>
      <c r="G61" s="17"/>
      <c r="H61" s="17"/>
      <c r="I61" s="17"/>
      <c r="J61" s="18">
        <f t="shared" si="0"/>
        <v>0</v>
      </c>
      <c r="K61" s="20">
        <f>IFERROR(CONFIGURACION!$B$5,0)</f>
        <v>4000</v>
      </c>
      <c r="L61" s="20">
        <f t="shared" si="1"/>
        <v>0</v>
      </c>
      <c r="M61" s="42">
        <f>IFERROR(CONFIGURACION!$B$9,0)</f>
        <v>0.15</v>
      </c>
      <c r="N61" s="20">
        <f t="shared" si="2"/>
        <v>0</v>
      </c>
      <c r="AO61" s="26">
        <f t="shared" si="5"/>
        <v>0</v>
      </c>
      <c r="AP61" s="20">
        <f>IFERROR(ROUNDUP(O61/(1-CONFIGURACION!$B$6),0),0)</f>
        <v>0</v>
      </c>
      <c r="AQ61" s="26">
        <f>IFERROR(ROUNDUP(O61/(1-CONFIGURACION!$B$7),0),0)</f>
        <v>0</v>
      </c>
      <c r="AR61" s="20">
        <f>IFERROR(ROUNDUP(O61/(1-CONFIGURACION!$B$8),0),0)</f>
        <v>0</v>
      </c>
      <c r="AS61" s="43"/>
      <c r="AT61" s="30">
        <f t="shared" si="6"/>
        <v>0</v>
      </c>
      <c r="AU61" s="18"/>
    </row>
    <row r="62" spans="1:47">
      <c r="A62" s="17"/>
      <c r="B62" s="17"/>
      <c r="C62" s="17"/>
      <c r="D62" s="17"/>
      <c r="E62" s="20">
        <f>IFERROR(SUMIF(RECETAS!$B:$B,B62,RECETAS!$H:$H),0)</f>
        <v>0</v>
      </c>
      <c r="F62" s="17"/>
      <c r="G62" s="17"/>
      <c r="H62" s="17"/>
      <c r="I62" s="17"/>
      <c r="J62" s="18">
        <f t="shared" si="0"/>
        <v>0</v>
      </c>
      <c r="K62" s="20">
        <f>IFERROR(CONFIGURACION!$B$5,0)</f>
        <v>4000</v>
      </c>
      <c r="L62" s="20">
        <f t="shared" si="1"/>
        <v>0</v>
      </c>
      <c r="M62" s="42">
        <f>IFERROR(CONFIGURACION!$B$9,0)</f>
        <v>0.15</v>
      </c>
      <c r="N62" s="20">
        <f t="shared" si="2"/>
        <v>0</v>
      </c>
      <c r="AO62" s="26">
        <f t="shared" si="5"/>
        <v>0</v>
      </c>
      <c r="AP62" s="20">
        <f>IFERROR(ROUNDUP(O62/(1-CONFIGURACION!$B$6),0),0)</f>
        <v>0</v>
      </c>
      <c r="AQ62" s="26">
        <f>IFERROR(ROUNDUP(O62/(1-CONFIGURACION!$B$7),0),0)</f>
        <v>0</v>
      </c>
      <c r="AR62" s="20">
        <f>IFERROR(ROUNDUP(O62/(1-CONFIGURACION!$B$8),0),0)</f>
        <v>0</v>
      </c>
      <c r="AS62" s="43"/>
      <c r="AT62" s="30">
        <f t="shared" si="6"/>
        <v>0</v>
      </c>
      <c r="AU62" s="18"/>
    </row>
    <row r="63" spans="1:47">
      <c r="A63" s="17"/>
      <c r="B63" s="17"/>
      <c r="C63" s="17"/>
      <c r="D63" s="17"/>
      <c r="E63" s="20">
        <f>IFERROR(SUMIF(RECETAS!$B:$B,B63,RECETAS!$H:$H),0)</f>
        <v>0</v>
      </c>
      <c r="F63" s="17"/>
      <c r="G63" s="17"/>
      <c r="H63" s="17"/>
      <c r="I63" s="17"/>
      <c r="J63" s="18">
        <f t="shared" si="0"/>
        <v>0</v>
      </c>
      <c r="K63" s="20">
        <f>IFERROR(CONFIGURACION!$B$5,0)</f>
        <v>4000</v>
      </c>
      <c r="L63" s="20">
        <f t="shared" si="1"/>
        <v>0</v>
      </c>
      <c r="M63" s="42">
        <f>IFERROR(CONFIGURACION!$B$9,0)</f>
        <v>0.15</v>
      </c>
      <c r="N63" s="20">
        <f t="shared" si="2"/>
        <v>0</v>
      </c>
      <c r="AO63" s="26">
        <f t="shared" si="5"/>
        <v>0</v>
      </c>
      <c r="AP63" s="20">
        <f>IFERROR(ROUNDUP(O63/(1-CONFIGURACION!$B$6),0),0)</f>
        <v>0</v>
      </c>
      <c r="AQ63" s="26">
        <f>IFERROR(ROUNDUP(O63/(1-CONFIGURACION!$B$7),0),0)</f>
        <v>0</v>
      </c>
      <c r="AR63" s="20">
        <f>IFERROR(ROUNDUP(O63/(1-CONFIGURACION!$B$8),0),0)</f>
        <v>0</v>
      </c>
      <c r="AS63" s="43"/>
      <c r="AT63" s="30">
        <f t="shared" si="6"/>
        <v>0</v>
      </c>
      <c r="AU63" s="18"/>
    </row>
    <row r="64" spans="1:47">
      <c r="A64" s="17"/>
      <c r="B64" s="17"/>
      <c r="C64" s="17"/>
      <c r="D64" s="17"/>
      <c r="E64" s="20">
        <f>IFERROR(SUMIF(RECETAS!$B:$B,B64,RECETAS!$H:$H),0)</f>
        <v>0</v>
      </c>
      <c r="F64" s="17"/>
      <c r="G64" s="17"/>
      <c r="H64" s="17"/>
      <c r="I64" s="17"/>
      <c r="J64" s="18">
        <f t="shared" si="0"/>
        <v>0</v>
      </c>
      <c r="K64" s="20">
        <f>IFERROR(CONFIGURACION!$B$5,0)</f>
        <v>4000</v>
      </c>
      <c r="L64" s="20">
        <f t="shared" si="1"/>
        <v>0</v>
      </c>
      <c r="M64" s="42">
        <f>IFERROR(CONFIGURACION!$B$9,0)</f>
        <v>0.15</v>
      </c>
      <c r="N64" s="20">
        <f t="shared" si="2"/>
        <v>0</v>
      </c>
      <c r="AO64" s="26">
        <f t="shared" si="5"/>
        <v>0</v>
      </c>
      <c r="AP64" s="20">
        <f>IFERROR(ROUNDUP(O64/(1-CONFIGURACION!$B$6),0),0)</f>
        <v>0</v>
      </c>
      <c r="AQ64" s="26">
        <f>IFERROR(ROUNDUP(O64/(1-CONFIGURACION!$B$7),0),0)</f>
        <v>0</v>
      </c>
      <c r="AR64" s="20">
        <f>IFERROR(ROUNDUP(O64/(1-CONFIGURACION!$B$8),0),0)</f>
        <v>0</v>
      </c>
      <c r="AS64" s="43"/>
      <c r="AT64" s="30">
        <f t="shared" si="6"/>
        <v>0</v>
      </c>
      <c r="AU64" s="18"/>
    </row>
    <row r="65" spans="1:47">
      <c r="A65" s="17"/>
      <c r="B65" s="17"/>
      <c r="C65" s="17"/>
      <c r="D65" s="17"/>
      <c r="E65" s="20">
        <f>IFERROR(SUMIF(RECETAS!$B:$B,B65,RECETAS!$H:$H),0)</f>
        <v>0</v>
      </c>
      <c r="F65" s="17"/>
      <c r="G65" s="17"/>
      <c r="H65" s="17"/>
      <c r="I65" s="17"/>
      <c r="J65" s="18">
        <f t="shared" si="0"/>
        <v>0</v>
      </c>
      <c r="K65" s="20">
        <f>IFERROR(CONFIGURACION!$B$5,0)</f>
        <v>4000</v>
      </c>
      <c r="L65" s="20">
        <f t="shared" si="1"/>
        <v>0</v>
      </c>
      <c r="M65" s="42">
        <f>IFERROR(CONFIGURACION!$B$9,0)</f>
        <v>0.15</v>
      </c>
      <c r="N65" s="20">
        <f t="shared" si="2"/>
        <v>0</v>
      </c>
      <c r="AO65" s="26">
        <f t="shared" si="5"/>
        <v>0</v>
      </c>
      <c r="AP65" s="20">
        <f>IFERROR(ROUNDUP(O65/(1-CONFIGURACION!$B$6),0),0)</f>
        <v>0</v>
      </c>
      <c r="AQ65" s="26">
        <f>IFERROR(ROUNDUP(O65/(1-CONFIGURACION!$B$7),0),0)</f>
        <v>0</v>
      </c>
      <c r="AR65" s="20">
        <f>IFERROR(ROUNDUP(O65/(1-CONFIGURACION!$B$8),0),0)</f>
        <v>0</v>
      </c>
      <c r="AS65" s="43"/>
      <c r="AT65" s="30">
        <f t="shared" si="6"/>
        <v>0</v>
      </c>
      <c r="AU65" s="18"/>
    </row>
    <row r="66" spans="1:47">
      <c r="A66" s="17"/>
      <c r="B66" s="17"/>
      <c r="C66" s="17"/>
      <c r="D66" s="17"/>
      <c r="E66" s="20">
        <f>IFERROR(SUMIF(RECETAS!$B:$B,B66,RECETAS!$H:$H),0)</f>
        <v>0</v>
      </c>
      <c r="F66" s="17"/>
      <c r="G66" s="17"/>
      <c r="H66" s="17"/>
      <c r="I66" s="17"/>
      <c r="J66" s="18">
        <f t="shared" si="0"/>
        <v>0</v>
      </c>
      <c r="K66" s="20">
        <f>IFERROR(CONFIGURACION!$B$5,0)</f>
        <v>4000</v>
      </c>
      <c r="L66" s="20">
        <f t="shared" si="1"/>
        <v>0</v>
      </c>
      <c r="M66" s="42">
        <f>IFERROR(CONFIGURACION!$B$9,0)</f>
        <v>0.15</v>
      </c>
      <c r="N66" s="20">
        <f t="shared" si="2"/>
        <v>0</v>
      </c>
      <c r="AO66" s="26">
        <f t="shared" si="5"/>
        <v>0</v>
      </c>
      <c r="AP66" s="20">
        <f>IFERROR(ROUNDUP(O66/(1-CONFIGURACION!$B$6),0),0)</f>
        <v>0</v>
      </c>
      <c r="AQ66" s="26">
        <f>IFERROR(ROUNDUP(O66/(1-CONFIGURACION!$B$7),0),0)</f>
        <v>0</v>
      </c>
      <c r="AR66" s="20">
        <f>IFERROR(ROUNDUP(O66/(1-CONFIGURACION!$B$8),0),0)</f>
        <v>0</v>
      </c>
      <c r="AS66" s="43"/>
      <c r="AT66" s="30">
        <f t="shared" si="6"/>
        <v>0</v>
      </c>
      <c r="AU66" s="18"/>
    </row>
    <row r="67" spans="1:47">
      <c r="A67" s="17"/>
      <c r="B67" s="17"/>
      <c r="C67" s="17"/>
      <c r="D67" s="17"/>
      <c r="E67" s="20">
        <f>IFERROR(SUMIF(RECETAS!$B:$B,B67,RECETAS!$H:$H),0)</f>
        <v>0</v>
      </c>
      <c r="F67" s="17"/>
      <c r="G67" s="17"/>
      <c r="H67" s="17"/>
      <c r="I67" s="17"/>
      <c r="J67" s="18">
        <f t="shared" si="0"/>
        <v>0</v>
      </c>
      <c r="K67" s="20">
        <f>IFERROR(CONFIGURACION!$B$5,0)</f>
        <v>4000</v>
      </c>
      <c r="L67" s="20">
        <f t="shared" si="1"/>
        <v>0</v>
      </c>
      <c r="M67" s="42">
        <f>IFERROR(CONFIGURACION!$B$9,0)</f>
        <v>0.15</v>
      </c>
      <c r="N67" s="20">
        <f t="shared" si="2"/>
        <v>0</v>
      </c>
      <c r="AO67" s="26">
        <f t="shared" si="5"/>
        <v>0</v>
      </c>
      <c r="AP67" s="20">
        <f>IFERROR(ROUNDUP(O67/(1-CONFIGURACION!$B$6),0),0)</f>
        <v>0</v>
      </c>
      <c r="AQ67" s="26">
        <f>IFERROR(ROUNDUP(O67/(1-CONFIGURACION!$B$7),0),0)</f>
        <v>0</v>
      </c>
      <c r="AR67" s="20">
        <f>IFERROR(ROUNDUP(O67/(1-CONFIGURACION!$B$8),0),0)</f>
        <v>0</v>
      </c>
      <c r="AS67" s="43"/>
      <c r="AT67" s="30">
        <f t="shared" si="6"/>
        <v>0</v>
      </c>
      <c r="AU67" s="18"/>
    </row>
    <row r="68" spans="1:47">
      <c r="A68" s="17"/>
      <c r="B68" s="17"/>
      <c r="C68" s="17"/>
      <c r="D68" s="17"/>
      <c r="E68" s="20">
        <f>IFERROR(SUMIF(RECETAS!$B:$B,B68,RECETAS!$H:$H),0)</f>
        <v>0</v>
      </c>
      <c r="F68" s="17"/>
      <c r="G68" s="17"/>
      <c r="H68" s="17"/>
      <c r="I68" s="17"/>
      <c r="J68" s="18">
        <f t="shared" si="0"/>
        <v>0</v>
      </c>
      <c r="K68" s="20">
        <f>IFERROR(CONFIGURACION!$B$5,0)</f>
        <v>4000</v>
      </c>
      <c r="L68" s="20">
        <f t="shared" si="1"/>
        <v>0</v>
      </c>
      <c r="M68" s="42">
        <f>IFERROR(CONFIGURACION!$B$9,0)</f>
        <v>0.15</v>
      </c>
      <c r="N68" s="20">
        <f t="shared" si="2"/>
        <v>0</v>
      </c>
      <c r="AO68" s="26">
        <f t="shared" si="5"/>
        <v>0</v>
      </c>
      <c r="AP68" s="20">
        <f>IFERROR(ROUNDUP(O68/(1-CONFIGURACION!$B$6),0),0)</f>
        <v>0</v>
      </c>
      <c r="AQ68" s="26">
        <f>IFERROR(ROUNDUP(O68/(1-CONFIGURACION!$B$7),0),0)</f>
        <v>0</v>
      </c>
      <c r="AR68" s="20">
        <f>IFERROR(ROUNDUP(O68/(1-CONFIGURACION!$B$8),0),0)</f>
        <v>0</v>
      </c>
      <c r="AS68" s="43"/>
      <c r="AT68" s="30">
        <f t="shared" si="6"/>
        <v>0</v>
      </c>
      <c r="AU68" s="18"/>
    </row>
    <row r="69" spans="1:47">
      <c r="A69" s="17"/>
      <c r="B69" s="17"/>
      <c r="C69" s="17"/>
      <c r="D69" s="17"/>
      <c r="E69" s="20">
        <f>IFERROR(SUMIF(RECETAS!$B:$B,B69,RECETAS!$H:$H),0)</f>
        <v>0</v>
      </c>
      <c r="F69" s="17"/>
      <c r="G69" s="17"/>
      <c r="H69" s="17"/>
      <c r="I69" s="17"/>
      <c r="J69" s="18">
        <f t="shared" ref="J69:J132" si="7">F69+G69+H69+I69</f>
        <v>0</v>
      </c>
      <c r="K69" s="20">
        <f>IFERROR(CONFIGURACION!$B$5,0)</f>
        <v>4000</v>
      </c>
      <c r="L69" s="20">
        <f t="shared" ref="L69:L132" si="8">IFERROR(J69*K69/60,0)</f>
        <v>0</v>
      </c>
      <c r="M69" s="42">
        <f>IFERROR(CONFIGURACION!$B$9,0)</f>
        <v>0.15</v>
      </c>
      <c r="N69" s="20">
        <f t="shared" ref="N69:N132" si="9">IFERROR((E69+L69)*M69,0)</f>
        <v>0</v>
      </c>
      <c r="AO69" s="26">
        <f t="shared" ref="AO69:AO132" si="10">IFERROR(E69+L69+N69,0)</f>
        <v>0</v>
      </c>
      <c r="AP69" s="20">
        <f>IFERROR(ROUNDUP(O69/(1-CONFIGURACION!$B$6),0),0)</f>
        <v>0</v>
      </c>
      <c r="AQ69" s="26">
        <f>IFERROR(ROUNDUP(O69/(1-CONFIGURACION!$B$7),0),0)</f>
        <v>0</v>
      </c>
      <c r="AR69" s="20">
        <f>IFERROR(ROUNDUP(O69/(1-CONFIGURACION!$B$8),0),0)</f>
        <v>0</v>
      </c>
      <c r="AS69" s="43"/>
      <c r="AT69" s="30">
        <f t="shared" ref="AT69:AT132" si="11">IF(S69&gt;0,(S69-O69)/S69,0)</f>
        <v>0</v>
      </c>
      <c r="AU69" s="18"/>
    </row>
    <row r="70" spans="1:47">
      <c r="A70" s="17"/>
      <c r="B70" s="17"/>
      <c r="C70" s="17"/>
      <c r="D70" s="17"/>
      <c r="E70" s="20">
        <f>IFERROR(SUMIF(RECETAS!$B:$B,B70,RECETAS!$H:$H),0)</f>
        <v>0</v>
      </c>
      <c r="F70" s="17"/>
      <c r="G70" s="17"/>
      <c r="H70" s="17"/>
      <c r="I70" s="17"/>
      <c r="J70" s="18">
        <f t="shared" si="7"/>
        <v>0</v>
      </c>
      <c r="K70" s="20">
        <f>IFERROR(CONFIGURACION!$B$5,0)</f>
        <v>4000</v>
      </c>
      <c r="L70" s="20">
        <f t="shared" si="8"/>
        <v>0</v>
      </c>
      <c r="M70" s="42">
        <f>IFERROR(CONFIGURACION!$B$9,0)</f>
        <v>0.15</v>
      </c>
      <c r="N70" s="20">
        <f t="shared" si="9"/>
        <v>0</v>
      </c>
      <c r="AO70" s="26">
        <f t="shared" si="10"/>
        <v>0</v>
      </c>
      <c r="AP70" s="20">
        <f>IFERROR(ROUNDUP(O70/(1-CONFIGURACION!$B$6),0),0)</f>
        <v>0</v>
      </c>
      <c r="AQ70" s="26">
        <f>IFERROR(ROUNDUP(O70/(1-CONFIGURACION!$B$7),0),0)</f>
        <v>0</v>
      </c>
      <c r="AR70" s="20">
        <f>IFERROR(ROUNDUP(O70/(1-CONFIGURACION!$B$8),0),0)</f>
        <v>0</v>
      </c>
      <c r="AS70" s="43"/>
      <c r="AT70" s="30">
        <f t="shared" si="11"/>
        <v>0</v>
      </c>
      <c r="AU70" s="18"/>
    </row>
    <row r="71" spans="1:47">
      <c r="A71" s="17"/>
      <c r="B71" s="17"/>
      <c r="C71" s="17"/>
      <c r="D71" s="17"/>
      <c r="E71" s="20">
        <f>IFERROR(SUMIF(RECETAS!$B:$B,B71,RECETAS!$H:$H),0)</f>
        <v>0</v>
      </c>
      <c r="F71" s="17"/>
      <c r="G71" s="17"/>
      <c r="H71" s="17"/>
      <c r="I71" s="17"/>
      <c r="J71" s="18">
        <f t="shared" si="7"/>
        <v>0</v>
      </c>
      <c r="K71" s="20">
        <f>IFERROR(CONFIGURACION!$B$5,0)</f>
        <v>4000</v>
      </c>
      <c r="L71" s="20">
        <f t="shared" si="8"/>
        <v>0</v>
      </c>
      <c r="M71" s="42">
        <f>IFERROR(CONFIGURACION!$B$9,0)</f>
        <v>0.15</v>
      </c>
      <c r="N71" s="20">
        <f t="shared" si="9"/>
        <v>0</v>
      </c>
      <c r="AO71" s="26">
        <f t="shared" si="10"/>
        <v>0</v>
      </c>
      <c r="AP71" s="20">
        <f>IFERROR(ROUNDUP(O71/(1-CONFIGURACION!$B$6),0),0)</f>
        <v>0</v>
      </c>
      <c r="AQ71" s="26">
        <f>IFERROR(ROUNDUP(O71/(1-CONFIGURACION!$B$7),0),0)</f>
        <v>0</v>
      </c>
      <c r="AR71" s="20">
        <f>IFERROR(ROUNDUP(O71/(1-CONFIGURACION!$B$8),0),0)</f>
        <v>0</v>
      </c>
      <c r="AS71" s="43"/>
      <c r="AT71" s="30">
        <f t="shared" si="11"/>
        <v>0</v>
      </c>
      <c r="AU71" s="18"/>
    </row>
    <row r="72" spans="1:47">
      <c r="A72" s="17"/>
      <c r="B72" s="17"/>
      <c r="C72" s="17"/>
      <c r="D72" s="17"/>
      <c r="E72" s="20">
        <f>IFERROR(SUMIF(RECETAS!$B:$B,B72,RECETAS!$H:$H),0)</f>
        <v>0</v>
      </c>
      <c r="F72" s="17"/>
      <c r="G72" s="17"/>
      <c r="H72" s="17"/>
      <c r="I72" s="17"/>
      <c r="J72" s="18">
        <f t="shared" si="7"/>
        <v>0</v>
      </c>
      <c r="K72" s="20">
        <f>IFERROR(CONFIGURACION!$B$5,0)</f>
        <v>4000</v>
      </c>
      <c r="L72" s="20">
        <f t="shared" si="8"/>
        <v>0</v>
      </c>
      <c r="M72" s="42">
        <f>IFERROR(CONFIGURACION!$B$9,0)</f>
        <v>0.15</v>
      </c>
      <c r="N72" s="20">
        <f t="shared" si="9"/>
        <v>0</v>
      </c>
      <c r="AO72" s="26">
        <f t="shared" si="10"/>
        <v>0</v>
      </c>
      <c r="AP72" s="20">
        <f>IFERROR(ROUNDUP(O72/(1-CONFIGURACION!$B$6),0),0)</f>
        <v>0</v>
      </c>
      <c r="AQ72" s="26">
        <f>IFERROR(ROUNDUP(O72/(1-CONFIGURACION!$B$7),0),0)</f>
        <v>0</v>
      </c>
      <c r="AR72" s="20">
        <f>IFERROR(ROUNDUP(O72/(1-CONFIGURACION!$B$8),0),0)</f>
        <v>0</v>
      </c>
      <c r="AS72" s="43"/>
      <c r="AT72" s="30">
        <f t="shared" si="11"/>
        <v>0</v>
      </c>
      <c r="AU72" s="18"/>
    </row>
    <row r="73" spans="1:47">
      <c r="A73" s="17"/>
      <c r="B73" s="17"/>
      <c r="C73" s="17"/>
      <c r="D73" s="17"/>
      <c r="E73" s="20">
        <f>IFERROR(SUMIF(RECETAS!$B:$B,B73,RECETAS!$H:$H),0)</f>
        <v>0</v>
      </c>
      <c r="F73" s="17"/>
      <c r="G73" s="17"/>
      <c r="H73" s="17"/>
      <c r="I73" s="17"/>
      <c r="J73" s="18">
        <f t="shared" si="7"/>
        <v>0</v>
      </c>
      <c r="K73" s="20">
        <f>IFERROR(CONFIGURACION!$B$5,0)</f>
        <v>4000</v>
      </c>
      <c r="L73" s="20">
        <f t="shared" si="8"/>
        <v>0</v>
      </c>
      <c r="M73" s="42">
        <f>IFERROR(CONFIGURACION!$B$9,0)</f>
        <v>0.15</v>
      </c>
      <c r="N73" s="20">
        <f t="shared" si="9"/>
        <v>0</v>
      </c>
      <c r="AO73" s="26">
        <f t="shared" si="10"/>
        <v>0</v>
      </c>
      <c r="AP73" s="20">
        <f>IFERROR(ROUNDUP(O73/(1-CONFIGURACION!$B$6),0),0)</f>
        <v>0</v>
      </c>
      <c r="AQ73" s="26">
        <f>IFERROR(ROUNDUP(O73/(1-CONFIGURACION!$B$7),0),0)</f>
        <v>0</v>
      </c>
      <c r="AR73" s="20">
        <f>IFERROR(ROUNDUP(O73/(1-CONFIGURACION!$B$8),0),0)</f>
        <v>0</v>
      </c>
      <c r="AS73" s="43"/>
      <c r="AT73" s="30">
        <f t="shared" si="11"/>
        <v>0</v>
      </c>
      <c r="AU73" s="18"/>
    </row>
    <row r="74" spans="1:47">
      <c r="A74" s="17"/>
      <c r="B74" s="17"/>
      <c r="C74" s="17"/>
      <c r="D74" s="17"/>
      <c r="E74" s="20">
        <f>IFERROR(SUMIF(RECETAS!$B:$B,B74,RECETAS!$H:$H),0)</f>
        <v>0</v>
      </c>
      <c r="F74" s="17"/>
      <c r="G74" s="17"/>
      <c r="H74" s="17"/>
      <c r="I74" s="17"/>
      <c r="J74" s="18">
        <f t="shared" si="7"/>
        <v>0</v>
      </c>
      <c r="K74" s="20">
        <f>IFERROR(CONFIGURACION!$B$5,0)</f>
        <v>4000</v>
      </c>
      <c r="L74" s="20">
        <f t="shared" si="8"/>
        <v>0</v>
      </c>
      <c r="M74" s="42">
        <f>IFERROR(CONFIGURACION!$B$9,0)</f>
        <v>0.15</v>
      </c>
      <c r="N74" s="20">
        <f t="shared" si="9"/>
        <v>0</v>
      </c>
      <c r="AO74" s="26">
        <f t="shared" si="10"/>
        <v>0</v>
      </c>
      <c r="AP74" s="20">
        <f>IFERROR(ROUNDUP(O74/(1-CONFIGURACION!$B$6),0),0)</f>
        <v>0</v>
      </c>
      <c r="AQ74" s="26">
        <f>IFERROR(ROUNDUP(O74/(1-CONFIGURACION!$B$7),0),0)</f>
        <v>0</v>
      </c>
      <c r="AR74" s="20">
        <f>IFERROR(ROUNDUP(O74/(1-CONFIGURACION!$B$8),0),0)</f>
        <v>0</v>
      </c>
      <c r="AS74" s="43"/>
      <c r="AT74" s="30">
        <f t="shared" si="11"/>
        <v>0</v>
      </c>
      <c r="AU74" s="18"/>
    </row>
    <row r="75" spans="1:47">
      <c r="A75" s="17"/>
      <c r="B75" s="17"/>
      <c r="C75" s="17"/>
      <c r="D75" s="17"/>
      <c r="E75" s="20">
        <f>IFERROR(SUMIF(RECETAS!$B:$B,B75,RECETAS!$H:$H),0)</f>
        <v>0</v>
      </c>
      <c r="F75" s="17"/>
      <c r="G75" s="17"/>
      <c r="H75" s="17"/>
      <c r="I75" s="17"/>
      <c r="J75" s="18">
        <f t="shared" si="7"/>
        <v>0</v>
      </c>
      <c r="K75" s="20">
        <f>IFERROR(CONFIGURACION!$B$5,0)</f>
        <v>4000</v>
      </c>
      <c r="L75" s="20">
        <f t="shared" si="8"/>
        <v>0</v>
      </c>
      <c r="M75" s="42">
        <f>IFERROR(CONFIGURACION!$B$9,0)</f>
        <v>0.15</v>
      </c>
      <c r="N75" s="20">
        <f t="shared" si="9"/>
        <v>0</v>
      </c>
      <c r="AO75" s="26">
        <f t="shared" si="10"/>
        <v>0</v>
      </c>
      <c r="AP75" s="20">
        <f>IFERROR(ROUNDUP(O75/(1-CONFIGURACION!$B$6),0),0)</f>
        <v>0</v>
      </c>
      <c r="AQ75" s="26">
        <f>IFERROR(ROUNDUP(O75/(1-CONFIGURACION!$B$7),0),0)</f>
        <v>0</v>
      </c>
      <c r="AR75" s="20">
        <f>IFERROR(ROUNDUP(O75/(1-CONFIGURACION!$B$8),0),0)</f>
        <v>0</v>
      </c>
      <c r="AS75" s="43"/>
      <c r="AT75" s="30">
        <f t="shared" si="11"/>
        <v>0</v>
      </c>
      <c r="AU75" s="18"/>
    </row>
    <row r="76" spans="1:47">
      <c r="A76" s="17"/>
      <c r="B76" s="17"/>
      <c r="C76" s="17"/>
      <c r="D76" s="17"/>
      <c r="E76" s="20">
        <f>IFERROR(SUMIF(RECETAS!$B:$B,B76,RECETAS!$H:$H),0)</f>
        <v>0</v>
      </c>
      <c r="F76" s="17"/>
      <c r="G76" s="17"/>
      <c r="H76" s="17"/>
      <c r="I76" s="17"/>
      <c r="J76" s="18">
        <f t="shared" si="7"/>
        <v>0</v>
      </c>
      <c r="K76" s="20">
        <f>IFERROR(CONFIGURACION!$B$5,0)</f>
        <v>4000</v>
      </c>
      <c r="L76" s="20">
        <f t="shared" si="8"/>
        <v>0</v>
      </c>
      <c r="M76" s="42">
        <f>IFERROR(CONFIGURACION!$B$9,0)</f>
        <v>0.15</v>
      </c>
      <c r="N76" s="20">
        <f t="shared" si="9"/>
        <v>0</v>
      </c>
      <c r="AO76" s="26">
        <f t="shared" si="10"/>
        <v>0</v>
      </c>
      <c r="AP76" s="20">
        <f>IFERROR(ROUNDUP(O76/(1-CONFIGURACION!$B$6),0),0)</f>
        <v>0</v>
      </c>
      <c r="AQ76" s="26">
        <f>IFERROR(ROUNDUP(O76/(1-CONFIGURACION!$B$7),0),0)</f>
        <v>0</v>
      </c>
      <c r="AR76" s="20">
        <f>IFERROR(ROUNDUP(O76/(1-CONFIGURACION!$B$8),0),0)</f>
        <v>0</v>
      </c>
      <c r="AS76" s="43"/>
      <c r="AT76" s="30">
        <f t="shared" si="11"/>
        <v>0</v>
      </c>
      <c r="AU76" s="18"/>
    </row>
    <row r="77" spans="1:47">
      <c r="A77" s="17"/>
      <c r="B77" s="17"/>
      <c r="C77" s="17"/>
      <c r="D77" s="17"/>
      <c r="E77" s="20">
        <f>IFERROR(SUMIF(RECETAS!$B:$B,B77,RECETAS!$H:$H),0)</f>
        <v>0</v>
      </c>
      <c r="F77" s="17"/>
      <c r="G77" s="17"/>
      <c r="H77" s="17"/>
      <c r="I77" s="17"/>
      <c r="J77" s="18">
        <f t="shared" si="7"/>
        <v>0</v>
      </c>
      <c r="K77" s="20">
        <f>IFERROR(CONFIGURACION!$B$5,0)</f>
        <v>4000</v>
      </c>
      <c r="L77" s="20">
        <f t="shared" si="8"/>
        <v>0</v>
      </c>
      <c r="M77" s="42">
        <f>IFERROR(CONFIGURACION!$B$9,0)</f>
        <v>0.15</v>
      </c>
      <c r="N77" s="20">
        <f t="shared" si="9"/>
        <v>0</v>
      </c>
      <c r="AO77" s="26">
        <f t="shared" si="10"/>
        <v>0</v>
      </c>
      <c r="AP77" s="20">
        <f>IFERROR(ROUNDUP(O77/(1-CONFIGURACION!$B$6),0),0)</f>
        <v>0</v>
      </c>
      <c r="AQ77" s="26">
        <f>IFERROR(ROUNDUP(O77/(1-CONFIGURACION!$B$7),0),0)</f>
        <v>0</v>
      </c>
      <c r="AR77" s="20">
        <f>IFERROR(ROUNDUP(O77/(1-CONFIGURACION!$B$8),0),0)</f>
        <v>0</v>
      </c>
      <c r="AS77" s="43"/>
      <c r="AT77" s="30">
        <f t="shared" si="11"/>
        <v>0</v>
      </c>
      <c r="AU77" s="18"/>
    </row>
    <row r="78" spans="1:47">
      <c r="A78" s="17"/>
      <c r="B78" s="17"/>
      <c r="C78" s="17"/>
      <c r="D78" s="17"/>
      <c r="E78" s="20">
        <f>IFERROR(SUMIF(RECETAS!$B:$B,B78,RECETAS!$H:$H),0)</f>
        <v>0</v>
      </c>
      <c r="F78" s="17"/>
      <c r="G78" s="17"/>
      <c r="H78" s="17"/>
      <c r="I78" s="17"/>
      <c r="J78" s="18">
        <f t="shared" si="7"/>
        <v>0</v>
      </c>
      <c r="K78" s="20">
        <f>IFERROR(CONFIGURACION!$B$5,0)</f>
        <v>4000</v>
      </c>
      <c r="L78" s="20">
        <f t="shared" si="8"/>
        <v>0</v>
      </c>
      <c r="M78" s="42">
        <f>IFERROR(CONFIGURACION!$B$9,0)</f>
        <v>0.15</v>
      </c>
      <c r="N78" s="20">
        <f t="shared" si="9"/>
        <v>0</v>
      </c>
      <c r="AO78" s="26">
        <f t="shared" si="10"/>
        <v>0</v>
      </c>
      <c r="AP78" s="20">
        <f>IFERROR(ROUNDUP(O78/(1-CONFIGURACION!$B$6),0),0)</f>
        <v>0</v>
      </c>
      <c r="AQ78" s="26">
        <f>IFERROR(ROUNDUP(O78/(1-CONFIGURACION!$B$7),0),0)</f>
        <v>0</v>
      </c>
      <c r="AR78" s="20">
        <f>IFERROR(ROUNDUP(O78/(1-CONFIGURACION!$B$8),0),0)</f>
        <v>0</v>
      </c>
      <c r="AS78" s="43"/>
      <c r="AT78" s="30">
        <f t="shared" si="11"/>
        <v>0</v>
      </c>
      <c r="AU78" s="18"/>
    </row>
    <row r="79" spans="1:47">
      <c r="A79" s="17"/>
      <c r="B79" s="17"/>
      <c r="C79" s="17"/>
      <c r="D79" s="17"/>
      <c r="E79" s="20">
        <f>IFERROR(SUMIF(RECETAS!$B:$B,B79,RECETAS!$H:$H),0)</f>
        <v>0</v>
      </c>
      <c r="F79" s="17"/>
      <c r="G79" s="17"/>
      <c r="H79" s="17"/>
      <c r="I79" s="17"/>
      <c r="J79" s="18">
        <f t="shared" si="7"/>
        <v>0</v>
      </c>
      <c r="K79" s="20">
        <f>IFERROR(CONFIGURACION!$B$5,0)</f>
        <v>4000</v>
      </c>
      <c r="L79" s="20">
        <f t="shared" si="8"/>
        <v>0</v>
      </c>
      <c r="M79" s="42">
        <f>IFERROR(CONFIGURACION!$B$9,0)</f>
        <v>0.15</v>
      </c>
      <c r="N79" s="20">
        <f t="shared" si="9"/>
        <v>0</v>
      </c>
      <c r="AO79" s="26">
        <f t="shared" si="10"/>
        <v>0</v>
      </c>
      <c r="AP79" s="20">
        <f>IFERROR(ROUNDUP(O79/(1-CONFIGURACION!$B$6),0),0)</f>
        <v>0</v>
      </c>
      <c r="AQ79" s="26">
        <f>IFERROR(ROUNDUP(O79/(1-CONFIGURACION!$B$7),0),0)</f>
        <v>0</v>
      </c>
      <c r="AR79" s="20">
        <f>IFERROR(ROUNDUP(O79/(1-CONFIGURACION!$B$8),0),0)</f>
        <v>0</v>
      </c>
      <c r="AS79" s="43"/>
      <c r="AT79" s="30">
        <f t="shared" si="11"/>
        <v>0</v>
      </c>
      <c r="AU79" s="18"/>
    </row>
    <row r="80" spans="1:47">
      <c r="A80" s="17"/>
      <c r="B80" s="17"/>
      <c r="C80" s="17"/>
      <c r="D80" s="17"/>
      <c r="E80" s="20">
        <f>IFERROR(SUMIF(RECETAS!$B:$B,B80,RECETAS!$H:$H),0)</f>
        <v>0</v>
      </c>
      <c r="F80" s="17"/>
      <c r="G80" s="17"/>
      <c r="H80" s="17"/>
      <c r="I80" s="17"/>
      <c r="J80" s="18">
        <f t="shared" si="7"/>
        <v>0</v>
      </c>
      <c r="K80" s="20">
        <f>IFERROR(CONFIGURACION!$B$5,0)</f>
        <v>4000</v>
      </c>
      <c r="L80" s="20">
        <f t="shared" si="8"/>
        <v>0</v>
      </c>
      <c r="M80" s="42">
        <f>IFERROR(CONFIGURACION!$B$9,0)</f>
        <v>0.15</v>
      </c>
      <c r="N80" s="20">
        <f t="shared" si="9"/>
        <v>0</v>
      </c>
      <c r="AO80" s="26">
        <f t="shared" si="10"/>
        <v>0</v>
      </c>
      <c r="AP80" s="20">
        <f>IFERROR(ROUNDUP(O80/(1-CONFIGURACION!$B$6),0),0)</f>
        <v>0</v>
      </c>
      <c r="AQ80" s="26">
        <f>IFERROR(ROUNDUP(O80/(1-CONFIGURACION!$B$7),0),0)</f>
        <v>0</v>
      </c>
      <c r="AR80" s="20">
        <f>IFERROR(ROUNDUP(O80/(1-CONFIGURACION!$B$8),0),0)</f>
        <v>0</v>
      </c>
      <c r="AS80" s="43"/>
      <c r="AT80" s="30">
        <f t="shared" si="11"/>
        <v>0</v>
      </c>
      <c r="AU80" s="18"/>
    </row>
    <row r="81" spans="1:47">
      <c r="A81" s="17"/>
      <c r="B81" s="17"/>
      <c r="C81" s="17"/>
      <c r="D81" s="17"/>
      <c r="E81" s="20">
        <f>IFERROR(SUMIF(RECETAS!$B:$B,B81,RECETAS!$H:$H),0)</f>
        <v>0</v>
      </c>
      <c r="F81" s="17"/>
      <c r="G81" s="17"/>
      <c r="H81" s="17"/>
      <c r="I81" s="17"/>
      <c r="J81" s="18">
        <f t="shared" si="7"/>
        <v>0</v>
      </c>
      <c r="K81" s="20">
        <f>IFERROR(CONFIGURACION!$B$5,0)</f>
        <v>4000</v>
      </c>
      <c r="L81" s="20">
        <f t="shared" si="8"/>
        <v>0</v>
      </c>
      <c r="M81" s="42">
        <f>IFERROR(CONFIGURACION!$B$9,0)</f>
        <v>0.15</v>
      </c>
      <c r="N81" s="20">
        <f t="shared" si="9"/>
        <v>0</v>
      </c>
      <c r="AO81" s="26">
        <f t="shared" si="10"/>
        <v>0</v>
      </c>
      <c r="AP81" s="20">
        <f>IFERROR(ROUNDUP(O81/(1-CONFIGURACION!$B$6),0),0)</f>
        <v>0</v>
      </c>
      <c r="AQ81" s="26">
        <f>IFERROR(ROUNDUP(O81/(1-CONFIGURACION!$B$7),0),0)</f>
        <v>0</v>
      </c>
      <c r="AR81" s="20">
        <f>IFERROR(ROUNDUP(O81/(1-CONFIGURACION!$B$8),0),0)</f>
        <v>0</v>
      </c>
      <c r="AS81" s="43"/>
      <c r="AT81" s="30">
        <f t="shared" si="11"/>
        <v>0</v>
      </c>
      <c r="AU81" s="18"/>
    </row>
    <row r="82" spans="1:47">
      <c r="A82" s="17"/>
      <c r="B82" s="17"/>
      <c r="C82" s="17"/>
      <c r="D82" s="17"/>
      <c r="E82" s="20">
        <f>IFERROR(SUMIF(RECETAS!$B:$B,B82,RECETAS!$H:$H),0)</f>
        <v>0</v>
      </c>
      <c r="F82" s="17"/>
      <c r="G82" s="17"/>
      <c r="H82" s="17"/>
      <c r="I82" s="17"/>
      <c r="J82" s="18">
        <f t="shared" si="7"/>
        <v>0</v>
      </c>
      <c r="K82" s="20">
        <f>IFERROR(CONFIGURACION!$B$5,0)</f>
        <v>4000</v>
      </c>
      <c r="L82" s="20">
        <f t="shared" si="8"/>
        <v>0</v>
      </c>
      <c r="M82" s="42">
        <f>IFERROR(CONFIGURACION!$B$9,0)</f>
        <v>0.15</v>
      </c>
      <c r="N82" s="20">
        <f t="shared" si="9"/>
        <v>0</v>
      </c>
      <c r="AO82" s="26">
        <f t="shared" si="10"/>
        <v>0</v>
      </c>
      <c r="AP82" s="20">
        <f>IFERROR(ROUNDUP(O82/(1-CONFIGURACION!$B$6),0),0)</f>
        <v>0</v>
      </c>
      <c r="AQ82" s="26">
        <f>IFERROR(ROUNDUP(O82/(1-CONFIGURACION!$B$7),0),0)</f>
        <v>0</v>
      </c>
      <c r="AR82" s="20">
        <f>IFERROR(ROUNDUP(O82/(1-CONFIGURACION!$B$8),0),0)</f>
        <v>0</v>
      </c>
      <c r="AS82" s="43"/>
      <c r="AT82" s="30">
        <f t="shared" si="11"/>
        <v>0</v>
      </c>
      <c r="AU82" s="18"/>
    </row>
    <row r="83" spans="1:47">
      <c r="A83" s="17"/>
      <c r="B83" s="17"/>
      <c r="C83" s="17"/>
      <c r="D83" s="17"/>
      <c r="E83" s="20">
        <f>IFERROR(SUMIF(RECETAS!$B:$B,B83,RECETAS!$H:$H),0)</f>
        <v>0</v>
      </c>
      <c r="F83" s="17"/>
      <c r="G83" s="17"/>
      <c r="H83" s="17"/>
      <c r="I83" s="17"/>
      <c r="J83" s="18">
        <f t="shared" si="7"/>
        <v>0</v>
      </c>
      <c r="K83" s="20">
        <f>IFERROR(CONFIGURACION!$B$5,0)</f>
        <v>4000</v>
      </c>
      <c r="L83" s="20">
        <f t="shared" si="8"/>
        <v>0</v>
      </c>
      <c r="M83" s="42">
        <f>IFERROR(CONFIGURACION!$B$9,0)</f>
        <v>0.15</v>
      </c>
      <c r="N83" s="20">
        <f t="shared" si="9"/>
        <v>0</v>
      </c>
      <c r="AO83" s="26">
        <f t="shared" si="10"/>
        <v>0</v>
      </c>
      <c r="AP83" s="20">
        <f>IFERROR(ROUNDUP(O83/(1-CONFIGURACION!$B$6),0),0)</f>
        <v>0</v>
      </c>
      <c r="AQ83" s="26">
        <f>IFERROR(ROUNDUP(O83/(1-CONFIGURACION!$B$7),0),0)</f>
        <v>0</v>
      </c>
      <c r="AR83" s="20">
        <f>IFERROR(ROUNDUP(O83/(1-CONFIGURACION!$B$8),0),0)</f>
        <v>0</v>
      </c>
      <c r="AS83" s="43"/>
      <c r="AT83" s="30">
        <f t="shared" si="11"/>
        <v>0</v>
      </c>
      <c r="AU83" s="18"/>
    </row>
    <row r="84" spans="1:47">
      <c r="A84" s="17"/>
      <c r="B84" s="17"/>
      <c r="C84" s="17"/>
      <c r="D84" s="17"/>
      <c r="E84" s="20">
        <f>IFERROR(SUMIF(RECETAS!$B:$B,B84,RECETAS!$H:$H),0)</f>
        <v>0</v>
      </c>
      <c r="F84" s="17"/>
      <c r="G84" s="17"/>
      <c r="H84" s="17"/>
      <c r="I84" s="17"/>
      <c r="J84" s="18">
        <f t="shared" si="7"/>
        <v>0</v>
      </c>
      <c r="K84" s="20">
        <f>IFERROR(CONFIGURACION!$B$5,0)</f>
        <v>4000</v>
      </c>
      <c r="L84" s="20">
        <f t="shared" si="8"/>
        <v>0</v>
      </c>
      <c r="M84" s="42">
        <f>IFERROR(CONFIGURACION!$B$9,0)</f>
        <v>0.15</v>
      </c>
      <c r="N84" s="20">
        <f t="shared" si="9"/>
        <v>0</v>
      </c>
      <c r="AO84" s="26">
        <f t="shared" si="10"/>
        <v>0</v>
      </c>
      <c r="AP84" s="20">
        <f>IFERROR(ROUNDUP(O84/(1-CONFIGURACION!$B$6),0),0)</f>
        <v>0</v>
      </c>
      <c r="AQ84" s="26">
        <f>IFERROR(ROUNDUP(O84/(1-CONFIGURACION!$B$7),0),0)</f>
        <v>0</v>
      </c>
      <c r="AR84" s="20">
        <f>IFERROR(ROUNDUP(O84/(1-CONFIGURACION!$B$8),0),0)</f>
        <v>0</v>
      </c>
      <c r="AS84" s="43"/>
      <c r="AT84" s="30">
        <f t="shared" si="11"/>
        <v>0</v>
      </c>
      <c r="AU84" s="18"/>
    </row>
    <row r="85" spans="1:47">
      <c r="A85" s="17"/>
      <c r="B85" s="17"/>
      <c r="C85" s="17"/>
      <c r="D85" s="17"/>
      <c r="E85" s="20">
        <f>IFERROR(SUMIF(RECETAS!$B:$B,B85,RECETAS!$H:$H),0)</f>
        <v>0</v>
      </c>
      <c r="F85" s="17"/>
      <c r="G85" s="17"/>
      <c r="H85" s="17"/>
      <c r="I85" s="17"/>
      <c r="J85" s="18">
        <f t="shared" si="7"/>
        <v>0</v>
      </c>
      <c r="K85" s="20">
        <f>IFERROR(CONFIGURACION!$B$5,0)</f>
        <v>4000</v>
      </c>
      <c r="L85" s="20">
        <f t="shared" si="8"/>
        <v>0</v>
      </c>
      <c r="M85" s="42">
        <f>IFERROR(CONFIGURACION!$B$9,0)</f>
        <v>0.15</v>
      </c>
      <c r="N85" s="20">
        <f t="shared" si="9"/>
        <v>0</v>
      </c>
      <c r="AO85" s="26">
        <f t="shared" si="10"/>
        <v>0</v>
      </c>
      <c r="AP85" s="20">
        <f>IFERROR(ROUNDUP(O85/(1-CONFIGURACION!$B$6),0),0)</f>
        <v>0</v>
      </c>
      <c r="AQ85" s="26">
        <f>IFERROR(ROUNDUP(O85/(1-CONFIGURACION!$B$7),0),0)</f>
        <v>0</v>
      </c>
      <c r="AR85" s="20">
        <f>IFERROR(ROUNDUP(O85/(1-CONFIGURACION!$B$8),0),0)</f>
        <v>0</v>
      </c>
      <c r="AS85" s="43"/>
      <c r="AT85" s="30">
        <f t="shared" si="11"/>
        <v>0</v>
      </c>
      <c r="AU85" s="18"/>
    </row>
    <row r="86" spans="1:47">
      <c r="A86" s="17"/>
      <c r="B86" s="17"/>
      <c r="C86" s="17"/>
      <c r="D86" s="17"/>
      <c r="E86" s="20">
        <f>IFERROR(SUMIF(RECETAS!$B:$B,B86,RECETAS!$H:$H),0)</f>
        <v>0</v>
      </c>
      <c r="F86" s="17"/>
      <c r="G86" s="17"/>
      <c r="H86" s="17"/>
      <c r="I86" s="17"/>
      <c r="J86" s="18">
        <f t="shared" si="7"/>
        <v>0</v>
      </c>
      <c r="K86" s="20">
        <f>IFERROR(CONFIGURACION!$B$5,0)</f>
        <v>4000</v>
      </c>
      <c r="L86" s="20">
        <f t="shared" si="8"/>
        <v>0</v>
      </c>
      <c r="M86" s="42">
        <f>IFERROR(CONFIGURACION!$B$9,0)</f>
        <v>0.15</v>
      </c>
      <c r="N86" s="20">
        <f t="shared" si="9"/>
        <v>0</v>
      </c>
      <c r="AO86" s="26">
        <f t="shared" si="10"/>
        <v>0</v>
      </c>
      <c r="AP86" s="20">
        <f>IFERROR(ROUNDUP(O86/(1-CONFIGURACION!$B$6),0),0)</f>
        <v>0</v>
      </c>
      <c r="AQ86" s="26">
        <f>IFERROR(ROUNDUP(O86/(1-CONFIGURACION!$B$7),0),0)</f>
        <v>0</v>
      </c>
      <c r="AR86" s="20">
        <f>IFERROR(ROUNDUP(O86/(1-CONFIGURACION!$B$8),0),0)</f>
        <v>0</v>
      </c>
      <c r="AS86" s="43"/>
      <c r="AT86" s="30">
        <f t="shared" si="11"/>
        <v>0</v>
      </c>
      <c r="AU86" s="18"/>
    </row>
    <row r="87" spans="1:47">
      <c r="A87" s="17"/>
      <c r="B87" s="17"/>
      <c r="C87" s="17"/>
      <c r="D87" s="17"/>
      <c r="E87" s="20">
        <f>IFERROR(SUMIF(RECETAS!$B:$B,B87,RECETAS!$H:$H),0)</f>
        <v>0</v>
      </c>
      <c r="F87" s="17"/>
      <c r="G87" s="17"/>
      <c r="H87" s="17"/>
      <c r="I87" s="17"/>
      <c r="J87" s="18">
        <f t="shared" si="7"/>
        <v>0</v>
      </c>
      <c r="K87" s="20">
        <f>IFERROR(CONFIGURACION!$B$5,0)</f>
        <v>4000</v>
      </c>
      <c r="L87" s="20">
        <f t="shared" si="8"/>
        <v>0</v>
      </c>
      <c r="M87" s="42">
        <f>IFERROR(CONFIGURACION!$B$9,0)</f>
        <v>0.15</v>
      </c>
      <c r="N87" s="20">
        <f t="shared" si="9"/>
        <v>0</v>
      </c>
      <c r="AO87" s="26">
        <f t="shared" si="10"/>
        <v>0</v>
      </c>
      <c r="AP87" s="20">
        <f>IFERROR(ROUNDUP(O87/(1-CONFIGURACION!$B$6),0),0)</f>
        <v>0</v>
      </c>
      <c r="AQ87" s="26">
        <f>IFERROR(ROUNDUP(O87/(1-CONFIGURACION!$B$7),0),0)</f>
        <v>0</v>
      </c>
      <c r="AR87" s="20">
        <f>IFERROR(ROUNDUP(O87/(1-CONFIGURACION!$B$8),0),0)</f>
        <v>0</v>
      </c>
      <c r="AS87" s="43"/>
      <c r="AT87" s="30">
        <f t="shared" si="11"/>
        <v>0</v>
      </c>
      <c r="AU87" s="18"/>
    </row>
    <row r="88" spans="1:47">
      <c r="A88" s="17"/>
      <c r="B88" s="17"/>
      <c r="C88" s="17"/>
      <c r="D88" s="17"/>
      <c r="E88" s="20">
        <f>IFERROR(SUMIF(RECETAS!$B:$B,B88,RECETAS!$H:$H),0)</f>
        <v>0</v>
      </c>
      <c r="F88" s="17"/>
      <c r="G88" s="17"/>
      <c r="H88" s="17"/>
      <c r="I88" s="17"/>
      <c r="J88" s="18">
        <f t="shared" si="7"/>
        <v>0</v>
      </c>
      <c r="K88" s="20">
        <f>IFERROR(CONFIGURACION!$B$5,0)</f>
        <v>4000</v>
      </c>
      <c r="L88" s="20">
        <f t="shared" si="8"/>
        <v>0</v>
      </c>
      <c r="M88" s="42">
        <f>IFERROR(CONFIGURACION!$B$9,0)</f>
        <v>0.15</v>
      </c>
      <c r="N88" s="20">
        <f t="shared" si="9"/>
        <v>0</v>
      </c>
      <c r="AO88" s="26">
        <f t="shared" si="10"/>
        <v>0</v>
      </c>
      <c r="AP88" s="20">
        <f>IFERROR(ROUNDUP(O88/(1-CONFIGURACION!$B$6),0),0)</f>
        <v>0</v>
      </c>
      <c r="AQ88" s="26">
        <f>IFERROR(ROUNDUP(O88/(1-CONFIGURACION!$B$7),0),0)</f>
        <v>0</v>
      </c>
      <c r="AR88" s="20">
        <f>IFERROR(ROUNDUP(O88/(1-CONFIGURACION!$B$8),0),0)</f>
        <v>0</v>
      </c>
      <c r="AS88" s="43"/>
      <c r="AT88" s="30">
        <f t="shared" si="11"/>
        <v>0</v>
      </c>
      <c r="AU88" s="18"/>
    </row>
    <row r="89" spans="1:47">
      <c r="A89" s="17"/>
      <c r="B89" s="17"/>
      <c r="C89" s="17"/>
      <c r="D89" s="17"/>
      <c r="E89" s="20">
        <f>IFERROR(SUMIF(RECETAS!$B:$B,B89,RECETAS!$H:$H),0)</f>
        <v>0</v>
      </c>
      <c r="F89" s="17"/>
      <c r="G89" s="17"/>
      <c r="H89" s="17"/>
      <c r="I89" s="17"/>
      <c r="J89" s="18">
        <f t="shared" si="7"/>
        <v>0</v>
      </c>
      <c r="K89" s="20">
        <f>IFERROR(CONFIGURACION!$B$5,0)</f>
        <v>4000</v>
      </c>
      <c r="L89" s="20">
        <f t="shared" si="8"/>
        <v>0</v>
      </c>
      <c r="M89" s="42">
        <f>IFERROR(CONFIGURACION!$B$9,0)</f>
        <v>0.15</v>
      </c>
      <c r="N89" s="20">
        <f t="shared" si="9"/>
        <v>0</v>
      </c>
      <c r="AO89" s="26">
        <f t="shared" si="10"/>
        <v>0</v>
      </c>
      <c r="AP89" s="20">
        <f>IFERROR(ROUNDUP(O89/(1-CONFIGURACION!$B$6),0),0)</f>
        <v>0</v>
      </c>
      <c r="AQ89" s="26">
        <f>IFERROR(ROUNDUP(O89/(1-CONFIGURACION!$B$7),0),0)</f>
        <v>0</v>
      </c>
      <c r="AR89" s="20">
        <f>IFERROR(ROUNDUP(O89/(1-CONFIGURACION!$B$8),0),0)</f>
        <v>0</v>
      </c>
      <c r="AS89" s="43"/>
      <c r="AT89" s="30">
        <f t="shared" si="11"/>
        <v>0</v>
      </c>
      <c r="AU89" s="18"/>
    </row>
    <row r="90" spans="1:47">
      <c r="A90" s="17"/>
      <c r="B90" s="17"/>
      <c r="C90" s="17"/>
      <c r="D90" s="17"/>
      <c r="E90" s="20">
        <f>IFERROR(SUMIF(RECETAS!$B:$B,B90,RECETAS!$H:$H),0)</f>
        <v>0</v>
      </c>
      <c r="F90" s="17"/>
      <c r="G90" s="17"/>
      <c r="H90" s="17"/>
      <c r="I90" s="17"/>
      <c r="J90" s="18">
        <f t="shared" si="7"/>
        <v>0</v>
      </c>
      <c r="K90" s="20">
        <f>IFERROR(CONFIGURACION!$B$5,0)</f>
        <v>4000</v>
      </c>
      <c r="L90" s="20">
        <f t="shared" si="8"/>
        <v>0</v>
      </c>
      <c r="M90" s="42">
        <f>IFERROR(CONFIGURACION!$B$9,0)</f>
        <v>0.15</v>
      </c>
      <c r="N90" s="20">
        <f t="shared" si="9"/>
        <v>0</v>
      </c>
      <c r="AO90" s="26">
        <f t="shared" si="10"/>
        <v>0</v>
      </c>
      <c r="AP90" s="20">
        <f>IFERROR(ROUNDUP(O90/(1-CONFIGURACION!$B$6),0),0)</f>
        <v>0</v>
      </c>
      <c r="AQ90" s="26">
        <f>IFERROR(ROUNDUP(O90/(1-CONFIGURACION!$B$7),0),0)</f>
        <v>0</v>
      </c>
      <c r="AR90" s="20">
        <f>IFERROR(ROUNDUP(O90/(1-CONFIGURACION!$B$8),0),0)</f>
        <v>0</v>
      </c>
      <c r="AS90" s="43"/>
      <c r="AT90" s="30">
        <f t="shared" si="11"/>
        <v>0</v>
      </c>
      <c r="AU90" s="18"/>
    </row>
    <row r="91" spans="1:47">
      <c r="A91" s="17"/>
      <c r="B91" s="17"/>
      <c r="C91" s="17"/>
      <c r="D91" s="17"/>
      <c r="E91" s="20">
        <f>IFERROR(SUMIF(RECETAS!$B:$B,B91,RECETAS!$H:$H),0)</f>
        <v>0</v>
      </c>
      <c r="F91" s="17"/>
      <c r="G91" s="17"/>
      <c r="H91" s="17"/>
      <c r="I91" s="17"/>
      <c r="J91" s="18">
        <f t="shared" si="7"/>
        <v>0</v>
      </c>
      <c r="K91" s="20">
        <f>IFERROR(CONFIGURACION!$B$5,0)</f>
        <v>4000</v>
      </c>
      <c r="L91" s="20">
        <f t="shared" si="8"/>
        <v>0</v>
      </c>
      <c r="M91" s="42">
        <f>IFERROR(CONFIGURACION!$B$9,0)</f>
        <v>0.15</v>
      </c>
      <c r="N91" s="20">
        <f t="shared" si="9"/>
        <v>0</v>
      </c>
      <c r="AO91" s="26">
        <f t="shared" si="10"/>
        <v>0</v>
      </c>
      <c r="AP91" s="20">
        <f>IFERROR(ROUNDUP(O91/(1-CONFIGURACION!$B$6),0),0)</f>
        <v>0</v>
      </c>
      <c r="AQ91" s="26">
        <f>IFERROR(ROUNDUP(O91/(1-CONFIGURACION!$B$7),0),0)</f>
        <v>0</v>
      </c>
      <c r="AR91" s="20">
        <f>IFERROR(ROUNDUP(O91/(1-CONFIGURACION!$B$8),0),0)</f>
        <v>0</v>
      </c>
      <c r="AS91" s="43"/>
      <c r="AT91" s="30">
        <f t="shared" si="11"/>
        <v>0</v>
      </c>
      <c r="AU91" s="18"/>
    </row>
    <row r="92" spans="1:47">
      <c r="A92" s="17"/>
      <c r="B92" s="17"/>
      <c r="C92" s="17"/>
      <c r="D92" s="17"/>
      <c r="E92" s="20">
        <f>IFERROR(SUMIF(RECETAS!$B:$B,B92,RECETAS!$H:$H),0)</f>
        <v>0</v>
      </c>
      <c r="F92" s="17"/>
      <c r="G92" s="17"/>
      <c r="H92" s="17"/>
      <c r="I92" s="17"/>
      <c r="J92" s="18">
        <f t="shared" si="7"/>
        <v>0</v>
      </c>
      <c r="K92" s="20">
        <f>IFERROR(CONFIGURACION!$B$5,0)</f>
        <v>4000</v>
      </c>
      <c r="L92" s="20">
        <f t="shared" si="8"/>
        <v>0</v>
      </c>
      <c r="M92" s="42">
        <f>IFERROR(CONFIGURACION!$B$9,0)</f>
        <v>0.15</v>
      </c>
      <c r="N92" s="20">
        <f t="shared" si="9"/>
        <v>0</v>
      </c>
      <c r="AO92" s="26">
        <f t="shared" si="10"/>
        <v>0</v>
      </c>
      <c r="AP92" s="20">
        <f>IFERROR(ROUNDUP(O92/(1-CONFIGURACION!$B$6),0),0)</f>
        <v>0</v>
      </c>
      <c r="AQ92" s="26">
        <f>IFERROR(ROUNDUP(O92/(1-CONFIGURACION!$B$7),0),0)</f>
        <v>0</v>
      </c>
      <c r="AR92" s="20">
        <f>IFERROR(ROUNDUP(O92/(1-CONFIGURACION!$B$8),0),0)</f>
        <v>0</v>
      </c>
      <c r="AS92" s="43"/>
      <c r="AT92" s="30">
        <f t="shared" si="11"/>
        <v>0</v>
      </c>
      <c r="AU92" s="18"/>
    </row>
    <row r="93" spans="1:47">
      <c r="A93" s="17"/>
      <c r="B93" s="17"/>
      <c r="C93" s="17"/>
      <c r="D93" s="17"/>
      <c r="E93" s="20">
        <f>IFERROR(SUMIF(RECETAS!$B:$B,B93,RECETAS!$H:$H),0)</f>
        <v>0</v>
      </c>
      <c r="F93" s="17"/>
      <c r="G93" s="17"/>
      <c r="H93" s="17"/>
      <c r="I93" s="17"/>
      <c r="J93" s="18">
        <f t="shared" si="7"/>
        <v>0</v>
      </c>
      <c r="K93" s="20">
        <f>IFERROR(CONFIGURACION!$B$5,0)</f>
        <v>4000</v>
      </c>
      <c r="L93" s="20">
        <f t="shared" si="8"/>
        <v>0</v>
      </c>
      <c r="M93" s="42">
        <f>IFERROR(CONFIGURACION!$B$9,0)</f>
        <v>0.15</v>
      </c>
      <c r="N93" s="20">
        <f t="shared" si="9"/>
        <v>0</v>
      </c>
      <c r="AO93" s="26">
        <f t="shared" si="10"/>
        <v>0</v>
      </c>
      <c r="AP93" s="20">
        <f>IFERROR(ROUNDUP(O93/(1-CONFIGURACION!$B$6),0),0)</f>
        <v>0</v>
      </c>
      <c r="AQ93" s="26">
        <f>IFERROR(ROUNDUP(O93/(1-CONFIGURACION!$B$7),0),0)</f>
        <v>0</v>
      </c>
      <c r="AR93" s="20">
        <f>IFERROR(ROUNDUP(O93/(1-CONFIGURACION!$B$8),0),0)</f>
        <v>0</v>
      </c>
      <c r="AS93" s="43"/>
      <c r="AT93" s="30">
        <f t="shared" si="11"/>
        <v>0</v>
      </c>
      <c r="AU93" s="18"/>
    </row>
    <row r="94" spans="1:47">
      <c r="A94" s="17"/>
      <c r="B94" s="17"/>
      <c r="C94" s="17"/>
      <c r="D94" s="17"/>
      <c r="E94" s="20">
        <f>IFERROR(SUMIF(RECETAS!$B:$B,B94,RECETAS!$H:$H),0)</f>
        <v>0</v>
      </c>
      <c r="F94" s="17"/>
      <c r="G94" s="17"/>
      <c r="H94" s="17"/>
      <c r="I94" s="17"/>
      <c r="J94" s="18">
        <f t="shared" si="7"/>
        <v>0</v>
      </c>
      <c r="K94" s="20">
        <f>IFERROR(CONFIGURACION!$B$5,0)</f>
        <v>4000</v>
      </c>
      <c r="L94" s="20">
        <f t="shared" si="8"/>
        <v>0</v>
      </c>
      <c r="M94" s="42">
        <f>IFERROR(CONFIGURACION!$B$9,0)</f>
        <v>0.15</v>
      </c>
      <c r="N94" s="20">
        <f t="shared" si="9"/>
        <v>0</v>
      </c>
      <c r="AO94" s="26">
        <f t="shared" si="10"/>
        <v>0</v>
      </c>
      <c r="AP94" s="20">
        <f>IFERROR(ROUNDUP(O94/(1-CONFIGURACION!$B$6),0),0)</f>
        <v>0</v>
      </c>
      <c r="AQ94" s="26">
        <f>IFERROR(ROUNDUP(O94/(1-CONFIGURACION!$B$7),0),0)</f>
        <v>0</v>
      </c>
      <c r="AR94" s="20">
        <f>IFERROR(ROUNDUP(O94/(1-CONFIGURACION!$B$8),0),0)</f>
        <v>0</v>
      </c>
      <c r="AS94" s="43"/>
      <c r="AT94" s="30">
        <f t="shared" si="11"/>
        <v>0</v>
      </c>
      <c r="AU94" s="18"/>
    </row>
    <row r="95" spans="1:47">
      <c r="A95" s="17"/>
      <c r="B95" s="17"/>
      <c r="C95" s="17"/>
      <c r="D95" s="17"/>
      <c r="E95" s="20">
        <f>IFERROR(SUMIF(RECETAS!$B:$B,B95,RECETAS!$H:$H),0)</f>
        <v>0</v>
      </c>
      <c r="F95" s="17"/>
      <c r="G95" s="17"/>
      <c r="H95" s="17"/>
      <c r="I95" s="17"/>
      <c r="J95" s="18">
        <f t="shared" si="7"/>
        <v>0</v>
      </c>
      <c r="K95" s="20">
        <f>IFERROR(CONFIGURACION!$B$5,0)</f>
        <v>4000</v>
      </c>
      <c r="L95" s="20">
        <f t="shared" si="8"/>
        <v>0</v>
      </c>
      <c r="M95" s="42">
        <f>IFERROR(CONFIGURACION!$B$9,0)</f>
        <v>0.15</v>
      </c>
      <c r="N95" s="20">
        <f t="shared" si="9"/>
        <v>0</v>
      </c>
      <c r="AO95" s="26">
        <f t="shared" si="10"/>
        <v>0</v>
      </c>
      <c r="AP95" s="20">
        <f>IFERROR(ROUNDUP(O95/(1-CONFIGURACION!$B$6),0),0)</f>
        <v>0</v>
      </c>
      <c r="AQ95" s="26">
        <f>IFERROR(ROUNDUP(O95/(1-CONFIGURACION!$B$7),0),0)</f>
        <v>0</v>
      </c>
      <c r="AR95" s="20">
        <f>IFERROR(ROUNDUP(O95/(1-CONFIGURACION!$B$8),0),0)</f>
        <v>0</v>
      </c>
      <c r="AS95" s="43"/>
      <c r="AT95" s="30">
        <f t="shared" si="11"/>
        <v>0</v>
      </c>
      <c r="AU95" s="18"/>
    </row>
    <row r="96" spans="1:47">
      <c r="A96" s="17"/>
      <c r="B96" s="17"/>
      <c r="C96" s="17"/>
      <c r="D96" s="17"/>
      <c r="E96" s="20">
        <f>IFERROR(SUMIF(RECETAS!$B:$B,B96,RECETAS!$H:$H),0)</f>
        <v>0</v>
      </c>
      <c r="F96" s="17"/>
      <c r="G96" s="17"/>
      <c r="H96" s="17"/>
      <c r="I96" s="17"/>
      <c r="J96" s="18">
        <f t="shared" si="7"/>
        <v>0</v>
      </c>
      <c r="K96" s="20">
        <f>IFERROR(CONFIGURACION!$B$5,0)</f>
        <v>4000</v>
      </c>
      <c r="L96" s="20">
        <f t="shared" si="8"/>
        <v>0</v>
      </c>
      <c r="M96" s="42">
        <f>IFERROR(CONFIGURACION!$B$9,0)</f>
        <v>0.15</v>
      </c>
      <c r="N96" s="20">
        <f t="shared" si="9"/>
        <v>0</v>
      </c>
      <c r="AO96" s="26">
        <f t="shared" si="10"/>
        <v>0</v>
      </c>
      <c r="AP96" s="20">
        <f>IFERROR(ROUNDUP(O96/(1-CONFIGURACION!$B$6),0),0)</f>
        <v>0</v>
      </c>
      <c r="AQ96" s="26">
        <f>IFERROR(ROUNDUP(O96/(1-CONFIGURACION!$B$7),0),0)</f>
        <v>0</v>
      </c>
      <c r="AR96" s="20">
        <f>IFERROR(ROUNDUP(O96/(1-CONFIGURACION!$B$8),0),0)</f>
        <v>0</v>
      </c>
      <c r="AS96" s="43"/>
      <c r="AT96" s="30">
        <f t="shared" si="11"/>
        <v>0</v>
      </c>
      <c r="AU96" s="18"/>
    </row>
    <row r="97" spans="1:47">
      <c r="A97" s="17"/>
      <c r="B97" s="17"/>
      <c r="C97" s="17"/>
      <c r="D97" s="17"/>
      <c r="E97" s="20">
        <f>IFERROR(SUMIF(RECETAS!$B:$B,B97,RECETAS!$H:$H),0)</f>
        <v>0</v>
      </c>
      <c r="F97" s="17"/>
      <c r="G97" s="17"/>
      <c r="H97" s="17"/>
      <c r="I97" s="17"/>
      <c r="J97" s="18">
        <f t="shared" si="7"/>
        <v>0</v>
      </c>
      <c r="K97" s="20">
        <f>IFERROR(CONFIGURACION!$B$5,0)</f>
        <v>4000</v>
      </c>
      <c r="L97" s="20">
        <f t="shared" si="8"/>
        <v>0</v>
      </c>
      <c r="M97" s="42">
        <f>IFERROR(CONFIGURACION!$B$9,0)</f>
        <v>0.15</v>
      </c>
      <c r="N97" s="20">
        <f t="shared" si="9"/>
        <v>0</v>
      </c>
      <c r="AO97" s="26">
        <f t="shared" si="10"/>
        <v>0</v>
      </c>
      <c r="AP97" s="20">
        <f>IFERROR(ROUNDUP(O97/(1-CONFIGURACION!$B$6),0),0)</f>
        <v>0</v>
      </c>
      <c r="AQ97" s="26">
        <f>IFERROR(ROUNDUP(O97/(1-CONFIGURACION!$B$7),0),0)</f>
        <v>0</v>
      </c>
      <c r="AR97" s="20">
        <f>IFERROR(ROUNDUP(O97/(1-CONFIGURACION!$B$8),0),0)</f>
        <v>0</v>
      </c>
      <c r="AS97" s="43"/>
      <c r="AT97" s="30">
        <f t="shared" si="11"/>
        <v>0</v>
      </c>
      <c r="AU97" s="18"/>
    </row>
    <row r="98" spans="1:47">
      <c r="A98" s="17"/>
      <c r="B98" s="17"/>
      <c r="C98" s="17"/>
      <c r="D98" s="17"/>
      <c r="E98" s="20">
        <f>IFERROR(SUMIF(RECETAS!$B:$B,B98,RECETAS!$H:$H),0)</f>
        <v>0</v>
      </c>
      <c r="F98" s="17"/>
      <c r="G98" s="17"/>
      <c r="H98" s="17"/>
      <c r="I98" s="17"/>
      <c r="J98" s="18">
        <f t="shared" si="7"/>
        <v>0</v>
      </c>
      <c r="K98" s="20">
        <f>IFERROR(CONFIGURACION!$B$5,0)</f>
        <v>4000</v>
      </c>
      <c r="L98" s="20">
        <f t="shared" si="8"/>
        <v>0</v>
      </c>
      <c r="M98" s="42">
        <f>IFERROR(CONFIGURACION!$B$9,0)</f>
        <v>0.15</v>
      </c>
      <c r="N98" s="20">
        <f t="shared" si="9"/>
        <v>0</v>
      </c>
      <c r="AO98" s="26">
        <f t="shared" si="10"/>
        <v>0</v>
      </c>
      <c r="AP98" s="20">
        <f>IFERROR(ROUNDUP(O98/(1-CONFIGURACION!$B$6),0),0)</f>
        <v>0</v>
      </c>
      <c r="AQ98" s="26">
        <f>IFERROR(ROUNDUP(O98/(1-CONFIGURACION!$B$7),0),0)</f>
        <v>0</v>
      </c>
      <c r="AR98" s="20">
        <f>IFERROR(ROUNDUP(O98/(1-CONFIGURACION!$B$8),0),0)</f>
        <v>0</v>
      </c>
      <c r="AS98" s="43"/>
      <c r="AT98" s="30">
        <f t="shared" si="11"/>
        <v>0</v>
      </c>
      <c r="AU98" s="18"/>
    </row>
    <row r="99" spans="1:47">
      <c r="A99" s="17"/>
      <c r="B99" s="17"/>
      <c r="C99" s="17"/>
      <c r="D99" s="17"/>
      <c r="E99" s="20">
        <f>IFERROR(SUMIF(RECETAS!$B:$B,B99,RECETAS!$H:$H),0)</f>
        <v>0</v>
      </c>
      <c r="F99" s="17"/>
      <c r="G99" s="17"/>
      <c r="H99" s="17"/>
      <c r="I99" s="17"/>
      <c r="J99" s="18">
        <f t="shared" si="7"/>
        <v>0</v>
      </c>
      <c r="K99" s="20">
        <f>IFERROR(CONFIGURACION!$B$5,0)</f>
        <v>4000</v>
      </c>
      <c r="L99" s="20">
        <f t="shared" si="8"/>
        <v>0</v>
      </c>
      <c r="M99" s="42">
        <f>IFERROR(CONFIGURACION!$B$9,0)</f>
        <v>0.15</v>
      </c>
      <c r="N99" s="20">
        <f t="shared" si="9"/>
        <v>0</v>
      </c>
      <c r="AO99" s="26">
        <f t="shared" si="10"/>
        <v>0</v>
      </c>
      <c r="AP99" s="20">
        <f>IFERROR(ROUNDUP(O99/(1-CONFIGURACION!$B$6),0),0)</f>
        <v>0</v>
      </c>
      <c r="AQ99" s="26">
        <f>IFERROR(ROUNDUP(O99/(1-CONFIGURACION!$B$7),0),0)</f>
        <v>0</v>
      </c>
      <c r="AR99" s="20">
        <f>IFERROR(ROUNDUP(O99/(1-CONFIGURACION!$B$8),0),0)</f>
        <v>0</v>
      </c>
      <c r="AS99" s="43"/>
      <c r="AT99" s="30">
        <f t="shared" si="11"/>
        <v>0</v>
      </c>
      <c r="AU99" s="18"/>
    </row>
    <row r="100" spans="1:47">
      <c r="A100" s="17"/>
      <c r="B100" s="17"/>
      <c r="C100" s="17"/>
      <c r="D100" s="17"/>
      <c r="E100" s="20">
        <f>IFERROR(SUMIF(RECETAS!$B:$B,B100,RECETAS!$H:$H),0)</f>
        <v>0</v>
      </c>
      <c r="F100" s="17"/>
      <c r="G100" s="17"/>
      <c r="H100" s="17"/>
      <c r="I100" s="17"/>
      <c r="J100" s="18">
        <f t="shared" si="7"/>
        <v>0</v>
      </c>
      <c r="K100" s="20">
        <f>IFERROR(CONFIGURACION!$B$5,0)</f>
        <v>4000</v>
      </c>
      <c r="L100" s="20">
        <f t="shared" si="8"/>
        <v>0</v>
      </c>
      <c r="M100" s="42">
        <f>IFERROR(CONFIGURACION!$B$9,0)</f>
        <v>0.15</v>
      </c>
      <c r="N100" s="20">
        <f t="shared" si="9"/>
        <v>0</v>
      </c>
      <c r="AO100" s="26">
        <f t="shared" si="10"/>
        <v>0</v>
      </c>
      <c r="AP100" s="20">
        <f>IFERROR(ROUNDUP(O100/(1-CONFIGURACION!$B$6),0),0)</f>
        <v>0</v>
      </c>
      <c r="AQ100" s="26">
        <f>IFERROR(ROUNDUP(O100/(1-CONFIGURACION!$B$7),0),0)</f>
        <v>0</v>
      </c>
      <c r="AR100" s="20">
        <f>IFERROR(ROUNDUP(O100/(1-CONFIGURACION!$B$8),0),0)</f>
        <v>0</v>
      </c>
      <c r="AS100" s="43"/>
      <c r="AT100" s="30">
        <f t="shared" si="11"/>
        <v>0</v>
      </c>
      <c r="AU100" s="18"/>
    </row>
    <row r="101" spans="1:47">
      <c r="A101" s="17"/>
      <c r="B101" s="17"/>
      <c r="C101" s="17"/>
      <c r="D101" s="17"/>
      <c r="E101" s="20">
        <f>IFERROR(SUMIF(RECETAS!$B:$B,B101,RECETAS!$H:$H),0)</f>
        <v>0</v>
      </c>
      <c r="F101" s="17"/>
      <c r="G101" s="17"/>
      <c r="H101" s="17"/>
      <c r="I101" s="17"/>
      <c r="J101" s="18">
        <f t="shared" si="7"/>
        <v>0</v>
      </c>
      <c r="K101" s="20">
        <f>IFERROR(CONFIGURACION!$B$5,0)</f>
        <v>4000</v>
      </c>
      <c r="L101" s="20">
        <f t="shared" si="8"/>
        <v>0</v>
      </c>
      <c r="M101" s="42">
        <f>IFERROR(CONFIGURACION!$B$9,0)</f>
        <v>0.15</v>
      </c>
      <c r="N101" s="20">
        <f t="shared" si="9"/>
        <v>0</v>
      </c>
      <c r="AO101" s="26">
        <f t="shared" si="10"/>
        <v>0</v>
      </c>
      <c r="AP101" s="20">
        <f>IFERROR(ROUNDUP(O101/(1-CONFIGURACION!$B$6),0),0)</f>
        <v>0</v>
      </c>
      <c r="AQ101" s="26">
        <f>IFERROR(ROUNDUP(O101/(1-CONFIGURACION!$B$7),0),0)</f>
        <v>0</v>
      </c>
      <c r="AR101" s="20">
        <f>IFERROR(ROUNDUP(O101/(1-CONFIGURACION!$B$8),0),0)</f>
        <v>0</v>
      </c>
      <c r="AS101" s="43"/>
      <c r="AT101" s="30">
        <f t="shared" si="11"/>
        <v>0</v>
      </c>
      <c r="AU101" s="18"/>
    </row>
    <row r="102" spans="1:47">
      <c r="A102" s="17"/>
      <c r="B102" s="17"/>
      <c r="C102" s="17"/>
      <c r="D102" s="17"/>
      <c r="E102" s="20">
        <f>IFERROR(SUMIF(RECETAS!$B:$B,B102,RECETAS!$H:$H),0)</f>
        <v>0</v>
      </c>
      <c r="F102" s="17"/>
      <c r="G102" s="17"/>
      <c r="H102" s="17"/>
      <c r="I102" s="17"/>
      <c r="J102" s="18">
        <f t="shared" si="7"/>
        <v>0</v>
      </c>
      <c r="K102" s="20">
        <f>IFERROR(CONFIGURACION!$B$5,0)</f>
        <v>4000</v>
      </c>
      <c r="L102" s="20">
        <f t="shared" si="8"/>
        <v>0</v>
      </c>
      <c r="M102" s="42">
        <f>IFERROR(CONFIGURACION!$B$9,0)</f>
        <v>0.15</v>
      </c>
      <c r="N102" s="20">
        <f t="shared" si="9"/>
        <v>0</v>
      </c>
      <c r="AO102" s="26">
        <f t="shared" si="10"/>
        <v>0</v>
      </c>
      <c r="AP102" s="20">
        <f>IFERROR(ROUNDUP(O102/(1-CONFIGURACION!$B$6),0),0)</f>
        <v>0</v>
      </c>
      <c r="AQ102" s="26">
        <f>IFERROR(ROUNDUP(O102/(1-CONFIGURACION!$B$7),0),0)</f>
        <v>0</v>
      </c>
      <c r="AR102" s="20">
        <f>IFERROR(ROUNDUP(O102/(1-CONFIGURACION!$B$8),0),0)</f>
        <v>0</v>
      </c>
      <c r="AS102" s="43"/>
      <c r="AT102" s="30">
        <f t="shared" si="11"/>
        <v>0</v>
      </c>
      <c r="AU102" s="18"/>
    </row>
    <row r="103" spans="1:47">
      <c r="A103" s="17"/>
      <c r="B103" s="17"/>
      <c r="C103" s="17"/>
      <c r="D103" s="17"/>
      <c r="E103" s="20">
        <f>IFERROR(SUMIF(RECETAS!$B:$B,B103,RECETAS!$H:$H),0)</f>
        <v>0</v>
      </c>
      <c r="F103" s="17"/>
      <c r="G103" s="17"/>
      <c r="H103" s="17"/>
      <c r="I103" s="17"/>
      <c r="J103" s="18">
        <f t="shared" si="7"/>
        <v>0</v>
      </c>
      <c r="K103" s="20">
        <f>IFERROR(CONFIGURACION!$B$5,0)</f>
        <v>4000</v>
      </c>
      <c r="L103" s="20">
        <f t="shared" si="8"/>
        <v>0</v>
      </c>
      <c r="M103" s="42">
        <f>IFERROR(CONFIGURACION!$B$9,0)</f>
        <v>0.15</v>
      </c>
      <c r="N103" s="20">
        <f t="shared" si="9"/>
        <v>0</v>
      </c>
      <c r="AO103" s="26">
        <f t="shared" si="10"/>
        <v>0</v>
      </c>
      <c r="AP103" s="20">
        <f>IFERROR(ROUNDUP(O103/(1-CONFIGURACION!$B$6),0),0)</f>
        <v>0</v>
      </c>
      <c r="AQ103" s="26">
        <f>IFERROR(ROUNDUP(O103/(1-CONFIGURACION!$B$7),0),0)</f>
        <v>0</v>
      </c>
      <c r="AR103" s="20">
        <f>IFERROR(ROUNDUP(O103/(1-CONFIGURACION!$B$8),0),0)</f>
        <v>0</v>
      </c>
      <c r="AS103" s="43"/>
      <c r="AT103" s="30">
        <f t="shared" si="11"/>
        <v>0</v>
      </c>
      <c r="AU103" s="18"/>
    </row>
    <row r="104" spans="1:47">
      <c r="A104" s="17"/>
      <c r="B104" s="17"/>
      <c r="C104" s="17"/>
      <c r="D104" s="17"/>
      <c r="E104" s="20">
        <f>IFERROR(SUMIF(RECETAS!$B:$B,B104,RECETAS!$H:$H),0)</f>
        <v>0</v>
      </c>
      <c r="F104" s="17"/>
      <c r="G104" s="17"/>
      <c r="H104" s="17"/>
      <c r="I104" s="17"/>
      <c r="J104" s="18">
        <f t="shared" si="7"/>
        <v>0</v>
      </c>
      <c r="K104" s="20">
        <f>IFERROR(CONFIGURACION!$B$5,0)</f>
        <v>4000</v>
      </c>
      <c r="L104" s="20">
        <f t="shared" si="8"/>
        <v>0</v>
      </c>
      <c r="M104" s="42">
        <f>IFERROR(CONFIGURACION!$B$9,0)</f>
        <v>0.15</v>
      </c>
      <c r="N104" s="20">
        <f t="shared" si="9"/>
        <v>0</v>
      </c>
      <c r="AO104" s="26">
        <f t="shared" si="10"/>
        <v>0</v>
      </c>
      <c r="AP104" s="20">
        <f>IFERROR(ROUNDUP(O104/(1-CONFIGURACION!$B$6),0),0)</f>
        <v>0</v>
      </c>
      <c r="AQ104" s="26">
        <f>IFERROR(ROUNDUP(O104/(1-CONFIGURACION!$B$7),0),0)</f>
        <v>0</v>
      </c>
      <c r="AR104" s="20">
        <f>IFERROR(ROUNDUP(O104/(1-CONFIGURACION!$B$8),0),0)</f>
        <v>0</v>
      </c>
      <c r="AS104" s="43"/>
      <c r="AT104" s="30">
        <f t="shared" si="11"/>
        <v>0</v>
      </c>
      <c r="AU104" s="18"/>
    </row>
    <row r="105" spans="1:47">
      <c r="A105" s="17"/>
      <c r="B105" s="17"/>
      <c r="C105" s="17"/>
      <c r="D105" s="17"/>
      <c r="E105" s="20">
        <f>IFERROR(SUMIF(RECETAS!$B:$B,B105,RECETAS!$H:$H),0)</f>
        <v>0</v>
      </c>
      <c r="F105" s="17"/>
      <c r="G105" s="17"/>
      <c r="H105" s="17"/>
      <c r="I105" s="17"/>
      <c r="J105" s="18">
        <f t="shared" si="7"/>
        <v>0</v>
      </c>
      <c r="K105" s="20">
        <f>IFERROR(CONFIGURACION!$B$5,0)</f>
        <v>4000</v>
      </c>
      <c r="L105" s="20">
        <f t="shared" si="8"/>
        <v>0</v>
      </c>
      <c r="M105" s="42">
        <f>IFERROR(CONFIGURACION!$B$9,0)</f>
        <v>0.15</v>
      </c>
      <c r="N105" s="20">
        <f t="shared" si="9"/>
        <v>0</v>
      </c>
      <c r="AO105" s="26">
        <f t="shared" si="10"/>
        <v>0</v>
      </c>
      <c r="AP105" s="20">
        <f>IFERROR(ROUNDUP(O105/(1-CONFIGURACION!$B$6),0),0)</f>
        <v>0</v>
      </c>
      <c r="AQ105" s="26">
        <f>IFERROR(ROUNDUP(O105/(1-CONFIGURACION!$B$7),0),0)</f>
        <v>0</v>
      </c>
      <c r="AR105" s="20">
        <f>IFERROR(ROUNDUP(O105/(1-CONFIGURACION!$B$8),0),0)</f>
        <v>0</v>
      </c>
      <c r="AS105" s="43"/>
      <c r="AT105" s="30">
        <f t="shared" si="11"/>
        <v>0</v>
      </c>
      <c r="AU105" s="18"/>
    </row>
    <row r="106" spans="1:47">
      <c r="A106" s="17"/>
      <c r="B106" s="17"/>
      <c r="C106" s="17"/>
      <c r="D106" s="17"/>
      <c r="E106" s="20">
        <f>IFERROR(SUMIF(RECETAS!$B:$B,B106,RECETAS!$H:$H),0)</f>
        <v>0</v>
      </c>
      <c r="F106" s="17"/>
      <c r="G106" s="17"/>
      <c r="H106" s="17"/>
      <c r="I106" s="17"/>
      <c r="J106" s="18">
        <f t="shared" si="7"/>
        <v>0</v>
      </c>
      <c r="K106" s="20">
        <f>IFERROR(CONFIGURACION!$B$5,0)</f>
        <v>4000</v>
      </c>
      <c r="L106" s="20">
        <f t="shared" si="8"/>
        <v>0</v>
      </c>
      <c r="M106" s="42">
        <f>IFERROR(CONFIGURACION!$B$9,0)</f>
        <v>0.15</v>
      </c>
      <c r="N106" s="20">
        <f t="shared" si="9"/>
        <v>0</v>
      </c>
      <c r="AO106" s="26">
        <f t="shared" si="10"/>
        <v>0</v>
      </c>
      <c r="AP106" s="20">
        <f>IFERROR(ROUNDUP(O106/(1-CONFIGURACION!$B$6),0),0)</f>
        <v>0</v>
      </c>
      <c r="AQ106" s="26">
        <f>IFERROR(ROUNDUP(O106/(1-CONFIGURACION!$B$7),0),0)</f>
        <v>0</v>
      </c>
      <c r="AR106" s="20">
        <f>IFERROR(ROUNDUP(O106/(1-CONFIGURACION!$B$8),0),0)</f>
        <v>0</v>
      </c>
      <c r="AS106" s="43"/>
      <c r="AT106" s="30">
        <f t="shared" si="11"/>
        <v>0</v>
      </c>
      <c r="AU106" s="18"/>
    </row>
    <row r="107" spans="1:47">
      <c r="A107" s="17"/>
      <c r="B107" s="17"/>
      <c r="C107" s="17"/>
      <c r="D107" s="17"/>
      <c r="E107" s="20">
        <f>IFERROR(SUMIF(RECETAS!$B:$B,B107,RECETAS!$H:$H),0)</f>
        <v>0</v>
      </c>
      <c r="F107" s="17"/>
      <c r="G107" s="17"/>
      <c r="H107" s="17"/>
      <c r="I107" s="17"/>
      <c r="J107" s="18">
        <f t="shared" si="7"/>
        <v>0</v>
      </c>
      <c r="K107" s="20">
        <f>IFERROR(CONFIGURACION!$B$5,0)</f>
        <v>4000</v>
      </c>
      <c r="L107" s="20">
        <f t="shared" si="8"/>
        <v>0</v>
      </c>
      <c r="M107" s="42">
        <f>IFERROR(CONFIGURACION!$B$9,0)</f>
        <v>0.15</v>
      </c>
      <c r="N107" s="20">
        <f t="shared" si="9"/>
        <v>0</v>
      </c>
      <c r="AO107" s="26">
        <f t="shared" si="10"/>
        <v>0</v>
      </c>
      <c r="AP107" s="20">
        <f>IFERROR(ROUNDUP(O107/(1-CONFIGURACION!$B$6),0),0)</f>
        <v>0</v>
      </c>
      <c r="AQ107" s="26">
        <f>IFERROR(ROUNDUP(O107/(1-CONFIGURACION!$B$7),0),0)</f>
        <v>0</v>
      </c>
      <c r="AR107" s="20">
        <f>IFERROR(ROUNDUP(O107/(1-CONFIGURACION!$B$8),0),0)</f>
        <v>0</v>
      </c>
      <c r="AS107" s="43"/>
      <c r="AT107" s="30">
        <f t="shared" si="11"/>
        <v>0</v>
      </c>
      <c r="AU107" s="18"/>
    </row>
    <row r="108" spans="1:47">
      <c r="A108" s="17"/>
      <c r="B108" s="17"/>
      <c r="C108" s="17"/>
      <c r="D108" s="17"/>
      <c r="E108" s="20">
        <f>IFERROR(SUMIF(RECETAS!$B:$B,B108,RECETAS!$H:$H),0)</f>
        <v>0</v>
      </c>
      <c r="F108" s="17"/>
      <c r="G108" s="17"/>
      <c r="H108" s="17"/>
      <c r="I108" s="17"/>
      <c r="J108" s="18">
        <f t="shared" si="7"/>
        <v>0</v>
      </c>
      <c r="K108" s="20">
        <f>IFERROR(CONFIGURACION!$B$5,0)</f>
        <v>4000</v>
      </c>
      <c r="L108" s="20">
        <f t="shared" si="8"/>
        <v>0</v>
      </c>
      <c r="M108" s="42">
        <f>IFERROR(CONFIGURACION!$B$9,0)</f>
        <v>0.15</v>
      </c>
      <c r="N108" s="20">
        <f t="shared" si="9"/>
        <v>0</v>
      </c>
      <c r="AO108" s="26">
        <f t="shared" si="10"/>
        <v>0</v>
      </c>
      <c r="AP108" s="20">
        <f>IFERROR(ROUNDUP(O108/(1-CONFIGURACION!$B$6),0),0)</f>
        <v>0</v>
      </c>
      <c r="AQ108" s="26">
        <f>IFERROR(ROUNDUP(O108/(1-CONFIGURACION!$B$7),0),0)</f>
        <v>0</v>
      </c>
      <c r="AR108" s="20">
        <f>IFERROR(ROUNDUP(O108/(1-CONFIGURACION!$B$8),0),0)</f>
        <v>0</v>
      </c>
      <c r="AS108" s="43"/>
      <c r="AT108" s="30">
        <f t="shared" si="11"/>
        <v>0</v>
      </c>
      <c r="AU108" s="18"/>
    </row>
    <row r="109" spans="1:47">
      <c r="A109" s="17"/>
      <c r="B109" s="17"/>
      <c r="C109" s="17"/>
      <c r="D109" s="17"/>
      <c r="E109" s="20">
        <f>IFERROR(SUMIF(RECETAS!$B:$B,B109,RECETAS!$H:$H),0)</f>
        <v>0</v>
      </c>
      <c r="F109" s="17"/>
      <c r="G109" s="17"/>
      <c r="H109" s="17"/>
      <c r="I109" s="17"/>
      <c r="J109" s="18">
        <f t="shared" si="7"/>
        <v>0</v>
      </c>
      <c r="K109" s="20">
        <f>IFERROR(CONFIGURACION!$B$5,0)</f>
        <v>4000</v>
      </c>
      <c r="L109" s="20">
        <f t="shared" si="8"/>
        <v>0</v>
      </c>
      <c r="M109" s="42">
        <f>IFERROR(CONFIGURACION!$B$9,0)</f>
        <v>0.15</v>
      </c>
      <c r="N109" s="20">
        <f t="shared" si="9"/>
        <v>0</v>
      </c>
      <c r="AO109" s="26">
        <f t="shared" si="10"/>
        <v>0</v>
      </c>
      <c r="AP109" s="20">
        <f>IFERROR(ROUNDUP(O109/(1-CONFIGURACION!$B$6),0),0)</f>
        <v>0</v>
      </c>
      <c r="AQ109" s="26">
        <f>IFERROR(ROUNDUP(O109/(1-CONFIGURACION!$B$7),0),0)</f>
        <v>0</v>
      </c>
      <c r="AR109" s="20">
        <f>IFERROR(ROUNDUP(O109/(1-CONFIGURACION!$B$8),0),0)</f>
        <v>0</v>
      </c>
      <c r="AS109" s="43"/>
      <c r="AT109" s="30">
        <f t="shared" si="11"/>
        <v>0</v>
      </c>
      <c r="AU109" s="18"/>
    </row>
    <row r="110" spans="1:47">
      <c r="A110" s="17"/>
      <c r="B110" s="17"/>
      <c r="C110" s="17"/>
      <c r="D110" s="17"/>
      <c r="E110" s="20">
        <f>IFERROR(SUMIF(RECETAS!$B:$B,B110,RECETAS!$H:$H),0)</f>
        <v>0</v>
      </c>
      <c r="F110" s="17"/>
      <c r="G110" s="17"/>
      <c r="H110" s="17"/>
      <c r="I110" s="17"/>
      <c r="J110" s="18">
        <f t="shared" si="7"/>
        <v>0</v>
      </c>
      <c r="K110" s="20">
        <f>IFERROR(CONFIGURACION!$B$5,0)</f>
        <v>4000</v>
      </c>
      <c r="L110" s="20">
        <f t="shared" si="8"/>
        <v>0</v>
      </c>
      <c r="M110" s="42">
        <f>IFERROR(CONFIGURACION!$B$9,0)</f>
        <v>0.15</v>
      </c>
      <c r="N110" s="20">
        <f t="shared" si="9"/>
        <v>0</v>
      </c>
      <c r="AO110" s="26">
        <f t="shared" si="10"/>
        <v>0</v>
      </c>
      <c r="AP110" s="20">
        <f>IFERROR(ROUNDUP(O110/(1-CONFIGURACION!$B$6),0),0)</f>
        <v>0</v>
      </c>
      <c r="AQ110" s="26">
        <f>IFERROR(ROUNDUP(O110/(1-CONFIGURACION!$B$7),0),0)</f>
        <v>0</v>
      </c>
      <c r="AR110" s="20">
        <f>IFERROR(ROUNDUP(O110/(1-CONFIGURACION!$B$8),0),0)</f>
        <v>0</v>
      </c>
      <c r="AS110" s="43"/>
      <c r="AT110" s="30">
        <f t="shared" si="11"/>
        <v>0</v>
      </c>
      <c r="AU110" s="18"/>
    </row>
    <row r="111" spans="1:47">
      <c r="A111" s="17"/>
      <c r="B111" s="17"/>
      <c r="C111" s="17"/>
      <c r="D111" s="17"/>
      <c r="E111" s="20">
        <f>IFERROR(SUMIF(RECETAS!$B:$B,B111,RECETAS!$H:$H),0)</f>
        <v>0</v>
      </c>
      <c r="F111" s="17"/>
      <c r="G111" s="17"/>
      <c r="H111" s="17"/>
      <c r="I111" s="17"/>
      <c r="J111" s="18">
        <f t="shared" si="7"/>
        <v>0</v>
      </c>
      <c r="K111" s="20">
        <f>IFERROR(CONFIGURACION!$B$5,0)</f>
        <v>4000</v>
      </c>
      <c r="L111" s="20">
        <f t="shared" si="8"/>
        <v>0</v>
      </c>
      <c r="M111" s="42">
        <f>IFERROR(CONFIGURACION!$B$9,0)</f>
        <v>0.15</v>
      </c>
      <c r="N111" s="20">
        <f t="shared" si="9"/>
        <v>0</v>
      </c>
      <c r="AO111" s="26">
        <f t="shared" si="10"/>
        <v>0</v>
      </c>
      <c r="AP111" s="20">
        <f>IFERROR(ROUNDUP(O111/(1-CONFIGURACION!$B$6),0),0)</f>
        <v>0</v>
      </c>
      <c r="AQ111" s="26">
        <f>IFERROR(ROUNDUP(O111/(1-CONFIGURACION!$B$7),0),0)</f>
        <v>0</v>
      </c>
      <c r="AR111" s="20">
        <f>IFERROR(ROUNDUP(O111/(1-CONFIGURACION!$B$8),0),0)</f>
        <v>0</v>
      </c>
      <c r="AS111" s="43"/>
      <c r="AT111" s="30">
        <f t="shared" si="11"/>
        <v>0</v>
      </c>
      <c r="AU111" s="18"/>
    </row>
    <row r="112" spans="1:47">
      <c r="A112" s="17"/>
      <c r="B112" s="17"/>
      <c r="C112" s="17"/>
      <c r="D112" s="17"/>
      <c r="E112" s="20">
        <f>IFERROR(SUMIF(RECETAS!$B:$B,B112,RECETAS!$H:$H),0)</f>
        <v>0</v>
      </c>
      <c r="F112" s="17"/>
      <c r="G112" s="17"/>
      <c r="H112" s="17"/>
      <c r="I112" s="17"/>
      <c r="J112" s="18">
        <f t="shared" si="7"/>
        <v>0</v>
      </c>
      <c r="K112" s="20">
        <f>IFERROR(CONFIGURACION!$B$5,0)</f>
        <v>4000</v>
      </c>
      <c r="L112" s="20">
        <f t="shared" si="8"/>
        <v>0</v>
      </c>
      <c r="M112" s="42">
        <f>IFERROR(CONFIGURACION!$B$9,0)</f>
        <v>0.15</v>
      </c>
      <c r="N112" s="20">
        <f t="shared" si="9"/>
        <v>0</v>
      </c>
      <c r="AO112" s="26">
        <f t="shared" si="10"/>
        <v>0</v>
      </c>
      <c r="AP112" s="20">
        <f>IFERROR(ROUNDUP(O112/(1-CONFIGURACION!$B$6),0),0)</f>
        <v>0</v>
      </c>
      <c r="AQ112" s="26">
        <f>IFERROR(ROUNDUP(O112/(1-CONFIGURACION!$B$7),0),0)</f>
        <v>0</v>
      </c>
      <c r="AR112" s="20">
        <f>IFERROR(ROUNDUP(O112/(1-CONFIGURACION!$B$8),0),0)</f>
        <v>0</v>
      </c>
      <c r="AS112" s="43"/>
      <c r="AT112" s="30">
        <f t="shared" si="11"/>
        <v>0</v>
      </c>
      <c r="AU112" s="18"/>
    </row>
    <row r="113" spans="1:47">
      <c r="A113" s="17"/>
      <c r="B113" s="17"/>
      <c r="C113" s="17"/>
      <c r="D113" s="17"/>
      <c r="E113" s="20">
        <f>IFERROR(SUMIF(RECETAS!$B:$B,B113,RECETAS!$H:$H),0)</f>
        <v>0</v>
      </c>
      <c r="F113" s="17"/>
      <c r="G113" s="17"/>
      <c r="H113" s="17"/>
      <c r="I113" s="17"/>
      <c r="J113" s="18">
        <f t="shared" si="7"/>
        <v>0</v>
      </c>
      <c r="K113" s="20">
        <f>IFERROR(CONFIGURACION!$B$5,0)</f>
        <v>4000</v>
      </c>
      <c r="L113" s="20">
        <f t="shared" si="8"/>
        <v>0</v>
      </c>
      <c r="M113" s="42">
        <f>IFERROR(CONFIGURACION!$B$9,0)</f>
        <v>0.15</v>
      </c>
      <c r="N113" s="20">
        <f t="shared" si="9"/>
        <v>0</v>
      </c>
      <c r="AO113" s="26">
        <f t="shared" si="10"/>
        <v>0</v>
      </c>
      <c r="AP113" s="20">
        <f>IFERROR(ROUNDUP(O113/(1-CONFIGURACION!$B$6),0),0)</f>
        <v>0</v>
      </c>
      <c r="AQ113" s="26">
        <f>IFERROR(ROUNDUP(O113/(1-CONFIGURACION!$B$7),0),0)</f>
        <v>0</v>
      </c>
      <c r="AR113" s="20">
        <f>IFERROR(ROUNDUP(O113/(1-CONFIGURACION!$B$8),0),0)</f>
        <v>0</v>
      </c>
      <c r="AS113" s="43"/>
      <c r="AT113" s="30">
        <f t="shared" si="11"/>
        <v>0</v>
      </c>
      <c r="AU113" s="18"/>
    </row>
    <row r="114" spans="1:47">
      <c r="A114" s="17"/>
      <c r="B114" s="17"/>
      <c r="C114" s="17"/>
      <c r="D114" s="17"/>
      <c r="E114" s="20">
        <f>IFERROR(SUMIF(RECETAS!$B:$B,B114,RECETAS!$H:$H),0)</f>
        <v>0</v>
      </c>
      <c r="F114" s="17"/>
      <c r="G114" s="17"/>
      <c r="H114" s="17"/>
      <c r="I114" s="17"/>
      <c r="J114" s="18">
        <f t="shared" si="7"/>
        <v>0</v>
      </c>
      <c r="K114" s="20">
        <f>IFERROR(CONFIGURACION!$B$5,0)</f>
        <v>4000</v>
      </c>
      <c r="L114" s="20">
        <f t="shared" si="8"/>
        <v>0</v>
      </c>
      <c r="M114" s="42">
        <f>IFERROR(CONFIGURACION!$B$9,0)</f>
        <v>0.15</v>
      </c>
      <c r="N114" s="20">
        <f t="shared" si="9"/>
        <v>0</v>
      </c>
      <c r="AO114" s="26">
        <f t="shared" si="10"/>
        <v>0</v>
      </c>
      <c r="AP114" s="20">
        <f>IFERROR(ROUNDUP(O114/(1-CONFIGURACION!$B$6),0),0)</f>
        <v>0</v>
      </c>
      <c r="AQ114" s="26">
        <f>IFERROR(ROUNDUP(O114/(1-CONFIGURACION!$B$7),0),0)</f>
        <v>0</v>
      </c>
      <c r="AR114" s="20">
        <f>IFERROR(ROUNDUP(O114/(1-CONFIGURACION!$B$8),0),0)</f>
        <v>0</v>
      </c>
      <c r="AS114" s="43"/>
      <c r="AT114" s="30">
        <f t="shared" si="11"/>
        <v>0</v>
      </c>
      <c r="AU114" s="18"/>
    </row>
    <row r="115" spans="1:47">
      <c r="A115" s="17"/>
      <c r="B115" s="17"/>
      <c r="C115" s="17"/>
      <c r="D115" s="17"/>
      <c r="E115" s="20">
        <f>IFERROR(SUMIF(RECETAS!$B:$B,B115,RECETAS!$H:$H),0)</f>
        <v>0</v>
      </c>
      <c r="F115" s="17"/>
      <c r="G115" s="17"/>
      <c r="H115" s="17"/>
      <c r="I115" s="17"/>
      <c r="J115" s="18">
        <f t="shared" si="7"/>
        <v>0</v>
      </c>
      <c r="K115" s="20">
        <f>IFERROR(CONFIGURACION!$B$5,0)</f>
        <v>4000</v>
      </c>
      <c r="L115" s="20">
        <f t="shared" si="8"/>
        <v>0</v>
      </c>
      <c r="M115" s="42">
        <f>IFERROR(CONFIGURACION!$B$9,0)</f>
        <v>0.15</v>
      </c>
      <c r="N115" s="20">
        <f t="shared" si="9"/>
        <v>0</v>
      </c>
      <c r="AO115" s="26">
        <f t="shared" si="10"/>
        <v>0</v>
      </c>
      <c r="AP115" s="20">
        <f>IFERROR(ROUNDUP(O115/(1-CONFIGURACION!$B$6),0),0)</f>
        <v>0</v>
      </c>
      <c r="AQ115" s="26">
        <f>IFERROR(ROUNDUP(O115/(1-CONFIGURACION!$B$7),0),0)</f>
        <v>0</v>
      </c>
      <c r="AR115" s="20">
        <f>IFERROR(ROUNDUP(O115/(1-CONFIGURACION!$B$8),0),0)</f>
        <v>0</v>
      </c>
      <c r="AS115" s="43"/>
      <c r="AT115" s="30">
        <f t="shared" si="11"/>
        <v>0</v>
      </c>
      <c r="AU115" s="18"/>
    </row>
    <row r="116" spans="1:47">
      <c r="A116" s="17"/>
      <c r="B116" s="17"/>
      <c r="C116" s="17"/>
      <c r="D116" s="17"/>
      <c r="E116" s="20">
        <f>IFERROR(SUMIF(RECETAS!$B:$B,B116,RECETAS!$H:$H),0)</f>
        <v>0</v>
      </c>
      <c r="F116" s="17"/>
      <c r="G116" s="17"/>
      <c r="H116" s="17"/>
      <c r="I116" s="17"/>
      <c r="J116" s="18">
        <f t="shared" si="7"/>
        <v>0</v>
      </c>
      <c r="K116" s="20">
        <f>IFERROR(CONFIGURACION!$B$5,0)</f>
        <v>4000</v>
      </c>
      <c r="L116" s="20">
        <f t="shared" si="8"/>
        <v>0</v>
      </c>
      <c r="M116" s="42">
        <f>IFERROR(CONFIGURACION!$B$9,0)</f>
        <v>0.15</v>
      </c>
      <c r="N116" s="20">
        <f t="shared" si="9"/>
        <v>0</v>
      </c>
      <c r="AO116" s="26">
        <f t="shared" si="10"/>
        <v>0</v>
      </c>
      <c r="AP116" s="20">
        <f>IFERROR(ROUNDUP(O116/(1-CONFIGURACION!$B$6),0),0)</f>
        <v>0</v>
      </c>
      <c r="AQ116" s="26">
        <f>IFERROR(ROUNDUP(O116/(1-CONFIGURACION!$B$7),0),0)</f>
        <v>0</v>
      </c>
      <c r="AR116" s="20">
        <f>IFERROR(ROUNDUP(O116/(1-CONFIGURACION!$B$8),0),0)</f>
        <v>0</v>
      </c>
      <c r="AS116" s="43"/>
      <c r="AT116" s="30">
        <f t="shared" si="11"/>
        <v>0</v>
      </c>
      <c r="AU116" s="18"/>
    </row>
    <row r="117" spans="1:47">
      <c r="A117" s="17"/>
      <c r="B117" s="17"/>
      <c r="C117" s="17"/>
      <c r="D117" s="17"/>
      <c r="E117" s="20">
        <f>IFERROR(SUMIF(RECETAS!$B:$B,B117,RECETAS!$H:$H),0)</f>
        <v>0</v>
      </c>
      <c r="F117" s="17"/>
      <c r="G117" s="17"/>
      <c r="H117" s="17"/>
      <c r="I117" s="17"/>
      <c r="J117" s="18">
        <f t="shared" si="7"/>
        <v>0</v>
      </c>
      <c r="K117" s="20">
        <f>IFERROR(CONFIGURACION!$B$5,0)</f>
        <v>4000</v>
      </c>
      <c r="L117" s="20">
        <f t="shared" si="8"/>
        <v>0</v>
      </c>
      <c r="M117" s="42">
        <f>IFERROR(CONFIGURACION!$B$9,0)</f>
        <v>0.15</v>
      </c>
      <c r="N117" s="20">
        <f t="shared" si="9"/>
        <v>0</v>
      </c>
      <c r="AO117" s="26">
        <f t="shared" si="10"/>
        <v>0</v>
      </c>
      <c r="AP117" s="20">
        <f>IFERROR(ROUNDUP(O117/(1-CONFIGURACION!$B$6),0),0)</f>
        <v>0</v>
      </c>
      <c r="AQ117" s="26">
        <f>IFERROR(ROUNDUP(O117/(1-CONFIGURACION!$B$7),0),0)</f>
        <v>0</v>
      </c>
      <c r="AR117" s="20">
        <f>IFERROR(ROUNDUP(O117/(1-CONFIGURACION!$B$8),0),0)</f>
        <v>0</v>
      </c>
      <c r="AS117" s="43"/>
      <c r="AT117" s="30">
        <f t="shared" si="11"/>
        <v>0</v>
      </c>
      <c r="AU117" s="18"/>
    </row>
    <row r="118" spans="1:47">
      <c r="A118" s="17"/>
      <c r="B118" s="17"/>
      <c r="C118" s="17"/>
      <c r="D118" s="17"/>
      <c r="E118" s="20">
        <f>IFERROR(SUMIF(RECETAS!$B:$B,B118,RECETAS!$H:$H),0)</f>
        <v>0</v>
      </c>
      <c r="F118" s="17"/>
      <c r="G118" s="17"/>
      <c r="H118" s="17"/>
      <c r="I118" s="17"/>
      <c r="J118" s="18">
        <f t="shared" si="7"/>
        <v>0</v>
      </c>
      <c r="K118" s="20">
        <f>IFERROR(CONFIGURACION!$B$5,0)</f>
        <v>4000</v>
      </c>
      <c r="L118" s="20">
        <f t="shared" si="8"/>
        <v>0</v>
      </c>
      <c r="M118" s="42">
        <f>IFERROR(CONFIGURACION!$B$9,0)</f>
        <v>0.15</v>
      </c>
      <c r="N118" s="20">
        <f t="shared" si="9"/>
        <v>0</v>
      </c>
      <c r="AO118" s="26">
        <f t="shared" si="10"/>
        <v>0</v>
      </c>
      <c r="AP118" s="20">
        <f>IFERROR(ROUNDUP(O118/(1-CONFIGURACION!$B$6),0),0)</f>
        <v>0</v>
      </c>
      <c r="AQ118" s="26">
        <f>IFERROR(ROUNDUP(O118/(1-CONFIGURACION!$B$7),0),0)</f>
        <v>0</v>
      </c>
      <c r="AR118" s="20">
        <f>IFERROR(ROUNDUP(O118/(1-CONFIGURACION!$B$8),0),0)</f>
        <v>0</v>
      </c>
      <c r="AS118" s="43"/>
      <c r="AT118" s="30">
        <f t="shared" si="11"/>
        <v>0</v>
      </c>
      <c r="AU118" s="18"/>
    </row>
    <row r="119" spans="1:47">
      <c r="A119" s="17"/>
      <c r="B119" s="17"/>
      <c r="C119" s="17"/>
      <c r="D119" s="17"/>
      <c r="E119" s="20">
        <f>IFERROR(SUMIF(RECETAS!$B:$B,B119,RECETAS!$H:$H),0)</f>
        <v>0</v>
      </c>
      <c r="F119" s="17"/>
      <c r="G119" s="17"/>
      <c r="H119" s="17"/>
      <c r="I119" s="17"/>
      <c r="J119" s="18">
        <f t="shared" si="7"/>
        <v>0</v>
      </c>
      <c r="K119" s="20">
        <f>IFERROR(CONFIGURACION!$B$5,0)</f>
        <v>4000</v>
      </c>
      <c r="L119" s="20">
        <f t="shared" si="8"/>
        <v>0</v>
      </c>
      <c r="M119" s="42">
        <f>IFERROR(CONFIGURACION!$B$9,0)</f>
        <v>0.15</v>
      </c>
      <c r="N119" s="20">
        <f t="shared" si="9"/>
        <v>0</v>
      </c>
      <c r="AO119" s="26">
        <f t="shared" si="10"/>
        <v>0</v>
      </c>
      <c r="AP119" s="20">
        <f>IFERROR(ROUNDUP(O119/(1-CONFIGURACION!$B$6),0),0)</f>
        <v>0</v>
      </c>
      <c r="AQ119" s="26">
        <f>IFERROR(ROUNDUP(O119/(1-CONFIGURACION!$B$7),0),0)</f>
        <v>0</v>
      </c>
      <c r="AR119" s="20">
        <f>IFERROR(ROUNDUP(O119/(1-CONFIGURACION!$B$8),0),0)</f>
        <v>0</v>
      </c>
      <c r="AS119" s="43"/>
      <c r="AT119" s="30">
        <f t="shared" si="11"/>
        <v>0</v>
      </c>
      <c r="AU119" s="18"/>
    </row>
    <row r="120" spans="1:47">
      <c r="A120" s="17"/>
      <c r="B120" s="17"/>
      <c r="C120" s="17"/>
      <c r="D120" s="17"/>
      <c r="E120" s="20">
        <f>IFERROR(SUMIF(RECETAS!$B:$B,B120,RECETAS!$H:$H),0)</f>
        <v>0</v>
      </c>
      <c r="F120" s="17"/>
      <c r="G120" s="17"/>
      <c r="H120" s="17"/>
      <c r="I120" s="17"/>
      <c r="J120" s="18">
        <f t="shared" si="7"/>
        <v>0</v>
      </c>
      <c r="K120" s="20">
        <f>IFERROR(CONFIGURACION!$B$5,0)</f>
        <v>4000</v>
      </c>
      <c r="L120" s="20">
        <f t="shared" si="8"/>
        <v>0</v>
      </c>
      <c r="M120" s="42">
        <f>IFERROR(CONFIGURACION!$B$9,0)</f>
        <v>0.15</v>
      </c>
      <c r="N120" s="20">
        <f t="shared" si="9"/>
        <v>0</v>
      </c>
      <c r="AO120" s="26">
        <f t="shared" si="10"/>
        <v>0</v>
      </c>
      <c r="AP120" s="20">
        <f>IFERROR(ROUNDUP(O120/(1-CONFIGURACION!$B$6),0),0)</f>
        <v>0</v>
      </c>
      <c r="AQ120" s="26">
        <f>IFERROR(ROUNDUP(O120/(1-CONFIGURACION!$B$7),0),0)</f>
        <v>0</v>
      </c>
      <c r="AR120" s="20">
        <f>IFERROR(ROUNDUP(O120/(1-CONFIGURACION!$B$8),0),0)</f>
        <v>0</v>
      </c>
      <c r="AS120" s="43"/>
      <c r="AT120" s="30">
        <f t="shared" si="11"/>
        <v>0</v>
      </c>
      <c r="AU120" s="18"/>
    </row>
    <row r="121" spans="1:47">
      <c r="A121" s="17"/>
      <c r="B121" s="17"/>
      <c r="C121" s="17"/>
      <c r="D121" s="17"/>
      <c r="E121" s="20">
        <f>IFERROR(SUMIF(RECETAS!$B:$B,B121,RECETAS!$H:$H),0)</f>
        <v>0</v>
      </c>
      <c r="F121" s="17"/>
      <c r="G121" s="17"/>
      <c r="H121" s="17"/>
      <c r="I121" s="17"/>
      <c r="J121" s="18">
        <f t="shared" si="7"/>
        <v>0</v>
      </c>
      <c r="K121" s="20">
        <f>IFERROR(CONFIGURACION!$B$5,0)</f>
        <v>4000</v>
      </c>
      <c r="L121" s="20">
        <f t="shared" si="8"/>
        <v>0</v>
      </c>
      <c r="M121" s="42">
        <f>IFERROR(CONFIGURACION!$B$9,0)</f>
        <v>0.15</v>
      </c>
      <c r="N121" s="20">
        <f t="shared" si="9"/>
        <v>0</v>
      </c>
      <c r="AO121" s="26">
        <f t="shared" si="10"/>
        <v>0</v>
      </c>
      <c r="AP121" s="20">
        <f>IFERROR(ROUNDUP(O121/(1-CONFIGURACION!$B$6),0),0)</f>
        <v>0</v>
      </c>
      <c r="AQ121" s="26">
        <f>IFERROR(ROUNDUP(O121/(1-CONFIGURACION!$B$7),0),0)</f>
        <v>0</v>
      </c>
      <c r="AR121" s="20">
        <f>IFERROR(ROUNDUP(O121/(1-CONFIGURACION!$B$8),0),0)</f>
        <v>0</v>
      </c>
      <c r="AS121" s="43"/>
      <c r="AT121" s="30">
        <f t="shared" si="11"/>
        <v>0</v>
      </c>
      <c r="AU121" s="18"/>
    </row>
    <row r="122" spans="1:47">
      <c r="A122" s="17"/>
      <c r="B122" s="17"/>
      <c r="C122" s="17"/>
      <c r="D122" s="17"/>
      <c r="E122" s="20">
        <f>IFERROR(SUMIF(RECETAS!$B:$B,B122,RECETAS!$H:$H),0)</f>
        <v>0</v>
      </c>
      <c r="F122" s="17"/>
      <c r="G122" s="17"/>
      <c r="H122" s="17"/>
      <c r="I122" s="17"/>
      <c r="J122" s="18">
        <f t="shared" si="7"/>
        <v>0</v>
      </c>
      <c r="K122" s="20">
        <f>IFERROR(CONFIGURACION!$B$5,0)</f>
        <v>4000</v>
      </c>
      <c r="L122" s="20">
        <f t="shared" si="8"/>
        <v>0</v>
      </c>
      <c r="M122" s="42">
        <f>IFERROR(CONFIGURACION!$B$9,0)</f>
        <v>0.15</v>
      </c>
      <c r="N122" s="20">
        <f t="shared" si="9"/>
        <v>0</v>
      </c>
      <c r="AO122" s="26">
        <f t="shared" si="10"/>
        <v>0</v>
      </c>
      <c r="AP122" s="20">
        <f>IFERROR(ROUNDUP(O122/(1-CONFIGURACION!$B$6),0),0)</f>
        <v>0</v>
      </c>
      <c r="AQ122" s="26">
        <f>IFERROR(ROUNDUP(O122/(1-CONFIGURACION!$B$7),0),0)</f>
        <v>0</v>
      </c>
      <c r="AR122" s="20">
        <f>IFERROR(ROUNDUP(O122/(1-CONFIGURACION!$B$8),0),0)</f>
        <v>0</v>
      </c>
      <c r="AS122" s="43"/>
      <c r="AT122" s="30">
        <f t="shared" si="11"/>
        <v>0</v>
      </c>
      <c r="AU122" s="18"/>
    </row>
    <row r="123" spans="1:47">
      <c r="A123" s="17"/>
      <c r="B123" s="17"/>
      <c r="C123" s="17"/>
      <c r="D123" s="17"/>
      <c r="E123" s="20">
        <f>IFERROR(SUMIF(RECETAS!$B:$B,B123,RECETAS!$H:$H),0)</f>
        <v>0</v>
      </c>
      <c r="F123" s="17"/>
      <c r="G123" s="17"/>
      <c r="H123" s="17"/>
      <c r="I123" s="17"/>
      <c r="J123" s="18">
        <f t="shared" si="7"/>
        <v>0</v>
      </c>
      <c r="K123" s="20">
        <f>IFERROR(CONFIGURACION!$B$5,0)</f>
        <v>4000</v>
      </c>
      <c r="L123" s="20">
        <f t="shared" si="8"/>
        <v>0</v>
      </c>
      <c r="M123" s="42">
        <f>IFERROR(CONFIGURACION!$B$9,0)</f>
        <v>0.15</v>
      </c>
      <c r="N123" s="20">
        <f t="shared" si="9"/>
        <v>0</v>
      </c>
      <c r="AO123" s="26">
        <f t="shared" si="10"/>
        <v>0</v>
      </c>
      <c r="AP123" s="20">
        <f>IFERROR(ROUNDUP(O123/(1-CONFIGURACION!$B$6),0),0)</f>
        <v>0</v>
      </c>
      <c r="AQ123" s="26">
        <f>IFERROR(ROUNDUP(O123/(1-CONFIGURACION!$B$7),0),0)</f>
        <v>0</v>
      </c>
      <c r="AR123" s="20">
        <f>IFERROR(ROUNDUP(O123/(1-CONFIGURACION!$B$8),0),0)</f>
        <v>0</v>
      </c>
      <c r="AS123" s="43"/>
      <c r="AT123" s="30">
        <f t="shared" si="11"/>
        <v>0</v>
      </c>
      <c r="AU123" s="18"/>
    </row>
    <row r="124" spans="1:47">
      <c r="A124" s="17"/>
      <c r="B124" s="17"/>
      <c r="C124" s="17"/>
      <c r="D124" s="17"/>
      <c r="E124" s="20">
        <f>IFERROR(SUMIF(RECETAS!$B:$B,B124,RECETAS!$H:$H),0)</f>
        <v>0</v>
      </c>
      <c r="F124" s="17"/>
      <c r="G124" s="17"/>
      <c r="H124" s="17"/>
      <c r="I124" s="17"/>
      <c r="J124" s="18">
        <f t="shared" si="7"/>
        <v>0</v>
      </c>
      <c r="K124" s="20">
        <f>IFERROR(CONFIGURACION!$B$5,0)</f>
        <v>4000</v>
      </c>
      <c r="L124" s="20">
        <f t="shared" si="8"/>
        <v>0</v>
      </c>
      <c r="M124" s="42">
        <f>IFERROR(CONFIGURACION!$B$9,0)</f>
        <v>0.15</v>
      </c>
      <c r="N124" s="20">
        <f t="shared" si="9"/>
        <v>0</v>
      </c>
      <c r="AO124" s="26">
        <f t="shared" si="10"/>
        <v>0</v>
      </c>
      <c r="AP124" s="20">
        <f>IFERROR(ROUNDUP(O124/(1-CONFIGURACION!$B$6),0),0)</f>
        <v>0</v>
      </c>
      <c r="AQ124" s="26">
        <f>IFERROR(ROUNDUP(O124/(1-CONFIGURACION!$B$7),0),0)</f>
        <v>0</v>
      </c>
      <c r="AR124" s="20">
        <f>IFERROR(ROUNDUP(O124/(1-CONFIGURACION!$B$8),0),0)</f>
        <v>0</v>
      </c>
      <c r="AS124" s="43"/>
      <c r="AT124" s="30">
        <f t="shared" si="11"/>
        <v>0</v>
      </c>
      <c r="AU124" s="18"/>
    </row>
    <row r="125" spans="1:47">
      <c r="A125" s="17"/>
      <c r="B125" s="17"/>
      <c r="C125" s="17"/>
      <c r="D125" s="17"/>
      <c r="E125" s="20">
        <f>IFERROR(SUMIF(RECETAS!$B:$B,B125,RECETAS!$H:$H),0)</f>
        <v>0</v>
      </c>
      <c r="F125" s="17"/>
      <c r="G125" s="17"/>
      <c r="H125" s="17"/>
      <c r="I125" s="17"/>
      <c r="J125" s="18">
        <f t="shared" si="7"/>
        <v>0</v>
      </c>
      <c r="K125" s="20">
        <f>IFERROR(CONFIGURACION!$B$5,0)</f>
        <v>4000</v>
      </c>
      <c r="L125" s="20">
        <f t="shared" si="8"/>
        <v>0</v>
      </c>
      <c r="M125" s="42">
        <f>IFERROR(CONFIGURACION!$B$9,0)</f>
        <v>0.15</v>
      </c>
      <c r="N125" s="20">
        <f t="shared" si="9"/>
        <v>0</v>
      </c>
      <c r="AO125" s="26">
        <f t="shared" si="10"/>
        <v>0</v>
      </c>
      <c r="AP125" s="20">
        <f>IFERROR(ROUNDUP(O125/(1-CONFIGURACION!$B$6),0),0)</f>
        <v>0</v>
      </c>
      <c r="AQ125" s="26">
        <f>IFERROR(ROUNDUP(O125/(1-CONFIGURACION!$B$7),0),0)</f>
        <v>0</v>
      </c>
      <c r="AR125" s="20">
        <f>IFERROR(ROUNDUP(O125/(1-CONFIGURACION!$B$8),0),0)</f>
        <v>0</v>
      </c>
      <c r="AS125" s="43"/>
      <c r="AT125" s="30">
        <f t="shared" si="11"/>
        <v>0</v>
      </c>
      <c r="AU125" s="18"/>
    </row>
    <row r="126" spans="1:47">
      <c r="A126" s="17"/>
      <c r="B126" s="17"/>
      <c r="C126" s="17"/>
      <c r="D126" s="17"/>
      <c r="E126" s="20">
        <f>IFERROR(SUMIF(RECETAS!$B:$B,B126,RECETAS!$H:$H),0)</f>
        <v>0</v>
      </c>
      <c r="F126" s="17"/>
      <c r="G126" s="17"/>
      <c r="H126" s="17"/>
      <c r="I126" s="17"/>
      <c r="J126" s="18">
        <f t="shared" si="7"/>
        <v>0</v>
      </c>
      <c r="K126" s="20">
        <f>IFERROR(CONFIGURACION!$B$5,0)</f>
        <v>4000</v>
      </c>
      <c r="L126" s="20">
        <f t="shared" si="8"/>
        <v>0</v>
      </c>
      <c r="M126" s="42">
        <f>IFERROR(CONFIGURACION!$B$9,0)</f>
        <v>0.15</v>
      </c>
      <c r="N126" s="20">
        <f t="shared" si="9"/>
        <v>0</v>
      </c>
      <c r="AO126" s="26">
        <f t="shared" si="10"/>
        <v>0</v>
      </c>
      <c r="AP126" s="20">
        <f>IFERROR(ROUNDUP(O126/(1-CONFIGURACION!$B$6),0),0)</f>
        <v>0</v>
      </c>
      <c r="AQ126" s="26">
        <f>IFERROR(ROUNDUP(O126/(1-CONFIGURACION!$B$7),0),0)</f>
        <v>0</v>
      </c>
      <c r="AR126" s="20">
        <f>IFERROR(ROUNDUP(O126/(1-CONFIGURACION!$B$8),0),0)</f>
        <v>0</v>
      </c>
      <c r="AS126" s="43"/>
      <c r="AT126" s="30">
        <f t="shared" si="11"/>
        <v>0</v>
      </c>
      <c r="AU126" s="18"/>
    </row>
    <row r="127" spans="1:47">
      <c r="A127" s="17"/>
      <c r="B127" s="17"/>
      <c r="C127" s="17"/>
      <c r="D127" s="17"/>
      <c r="E127" s="20">
        <f>IFERROR(SUMIF(RECETAS!$B:$B,B127,RECETAS!$H:$H),0)</f>
        <v>0</v>
      </c>
      <c r="F127" s="17"/>
      <c r="G127" s="17"/>
      <c r="H127" s="17"/>
      <c r="I127" s="17"/>
      <c r="J127" s="18">
        <f t="shared" si="7"/>
        <v>0</v>
      </c>
      <c r="K127" s="20">
        <f>IFERROR(CONFIGURACION!$B$5,0)</f>
        <v>4000</v>
      </c>
      <c r="L127" s="20">
        <f t="shared" si="8"/>
        <v>0</v>
      </c>
      <c r="M127" s="42">
        <f>IFERROR(CONFIGURACION!$B$9,0)</f>
        <v>0.15</v>
      </c>
      <c r="N127" s="20">
        <f t="shared" si="9"/>
        <v>0</v>
      </c>
      <c r="AO127" s="26">
        <f t="shared" si="10"/>
        <v>0</v>
      </c>
      <c r="AP127" s="20">
        <f>IFERROR(ROUNDUP(O127/(1-CONFIGURACION!$B$6),0),0)</f>
        <v>0</v>
      </c>
      <c r="AQ127" s="26">
        <f>IFERROR(ROUNDUP(O127/(1-CONFIGURACION!$B$7),0),0)</f>
        <v>0</v>
      </c>
      <c r="AR127" s="20">
        <f>IFERROR(ROUNDUP(O127/(1-CONFIGURACION!$B$8),0),0)</f>
        <v>0</v>
      </c>
      <c r="AS127" s="43"/>
      <c r="AT127" s="30">
        <f t="shared" si="11"/>
        <v>0</v>
      </c>
      <c r="AU127" s="18"/>
    </row>
    <row r="128" spans="1:47">
      <c r="A128" s="17"/>
      <c r="B128" s="17"/>
      <c r="C128" s="17"/>
      <c r="D128" s="17"/>
      <c r="E128" s="20">
        <f>IFERROR(SUMIF(RECETAS!$B:$B,B128,RECETAS!$H:$H),0)</f>
        <v>0</v>
      </c>
      <c r="F128" s="17"/>
      <c r="G128" s="17"/>
      <c r="H128" s="17"/>
      <c r="I128" s="17"/>
      <c r="J128" s="18">
        <f t="shared" si="7"/>
        <v>0</v>
      </c>
      <c r="K128" s="20">
        <f>IFERROR(CONFIGURACION!$B$5,0)</f>
        <v>4000</v>
      </c>
      <c r="L128" s="20">
        <f t="shared" si="8"/>
        <v>0</v>
      </c>
      <c r="M128" s="42">
        <f>IFERROR(CONFIGURACION!$B$9,0)</f>
        <v>0.15</v>
      </c>
      <c r="N128" s="20">
        <f t="shared" si="9"/>
        <v>0</v>
      </c>
      <c r="AO128" s="26">
        <f t="shared" si="10"/>
        <v>0</v>
      </c>
      <c r="AP128" s="20">
        <f>IFERROR(ROUNDUP(O128/(1-CONFIGURACION!$B$6),0),0)</f>
        <v>0</v>
      </c>
      <c r="AQ128" s="26">
        <f>IFERROR(ROUNDUP(O128/(1-CONFIGURACION!$B$7),0),0)</f>
        <v>0</v>
      </c>
      <c r="AR128" s="20">
        <f>IFERROR(ROUNDUP(O128/(1-CONFIGURACION!$B$8),0),0)</f>
        <v>0</v>
      </c>
      <c r="AS128" s="43"/>
      <c r="AT128" s="30">
        <f t="shared" si="11"/>
        <v>0</v>
      </c>
      <c r="AU128" s="18"/>
    </row>
    <row r="129" spans="1:47">
      <c r="A129" s="17"/>
      <c r="B129" s="17"/>
      <c r="C129" s="17"/>
      <c r="D129" s="17"/>
      <c r="E129" s="20">
        <f>IFERROR(SUMIF(RECETAS!$B:$B,B129,RECETAS!$H:$H),0)</f>
        <v>0</v>
      </c>
      <c r="F129" s="17"/>
      <c r="G129" s="17"/>
      <c r="H129" s="17"/>
      <c r="I129" s="17"/>
      <c r="J129" s="18">
        <f t="shared" si="7"/>
        <v>0</v>
      </c>
      <c r="K129" s="20">
        <f>IFERROR(CONFIGURACION!$B$5,0)</f>
        <v>4000</v>
      </c>
      <c r="L129" s="20">
        <f t="shared" si="8"/>
        <v>0</v>
      </c>
      <c r="M129" s="42">
        <f>IFERROR(CONFIGURACION!$B$9,0)</f>
        <v>0.15</v>
      </c>
      <c r="N129" s="20">
        <f t="shared" si="9"/>
        <v>0</v>
      </c>
      <c r="AO129" s="26">
        <f t="shared" si="10"/>
        <v>0</v>
      </c>
      <c r="AP129" s="20">
        <f>IFERROR(ROUNDUP(O129/(1-CONFIGURACION!$B$6),0),0)</f>
        <v>0</v>
      </c>
      <c r="AQ129" s="26">
        <f>IFERROR(ROUNDUP(O129/(1-CONFIGURACION!$B$7),0),0)</f>
        <v>0</v>
      </c>
      <c r="AR129" s="20">
        <f>IFERROR(ROUNDUP(O129/(1-CONFIGURACION!$B$8),0),0)</f>
        <v>0</v>
      </c>
      <c r="AS129" s="43"/>
      <c r="AT129" s="30">
        <f t="shared" si="11"/>
        <v>0</v>
      </c>
      <c r="AU129" s="18"/>
    </row>
    <row r="130" spans="1:47">
      <c r="A130" s="17"/>
      <c r="B130" s="17"/>
      <c r="C130" s="17"/>
      <c r="D130" s="17"/>
      <c r="E130" s="20">
        <f>IFERROR(SUMIF(RECETAS!$B:$B,B130,RECETAS!$H:$H),0)</f>
        <v>0</v>
      </c>
      <c r="F130" s="17"/>
      <c r="G130" s="17"/>
      <c r="H130" s="17"/>
      <c r="I130" s="17"/>
      <c r="J130" s="18">
        <f t="shared" si="7"/>
        <v>0</v>
      </c>
      <c r="K130" s="20">
        <f>IFERROR(CONFIGURACION!$B$5,0)</f>
        <v>4000</v>
      </c>
      <c r="L130" s="20">
        <f t="shared" si="8"/>
        <v>0</v>
      </c>
      <c r="M130" s="42">
        <f>IFERROR(CONFIGURACION!$B$9,0)</f>
        <v>0.15</v>
      </c>
      <c r="N130" s="20">
        <f t="shared" si="9"/>
        <v>0</v>
      </c>
      <c r="AO130" s="26">
        <f t="shared" si="10"/>
        <v>0</v>
      </c>
      <c r="AP130" s="20">
        <f>IFERROR(ROUNDUP(O130/(1-CONFIGURACION!$B$6),0),0)</f>
        <v>0</v>
      </c>
      <c r="AQ130" s="26">
        <f>IFERROR(ROUNDUP(O130/(1-CONFIGURACION!$B$7),0),0)</f>
        <v>0</v>
      </c>
      <c r="AR130" s="20">
        <f>IFERROR(ROUNDUP(O130/(1-CONFIGURACION!$B$8),0),0)</f>
        <v>0</v>
      </c>
      <c r="AS130" s="43"/>
      <c r="AT130" s="30">
        <f t="shared" si="11"/>
        <v>0</v>
      </c>
      <c r="AU130" s="18"/>
    </row>
    <row r="131" spans="1:47">
      <c r="A131" s="17"/>
      <c r="B131" s="17"/>
      <c r="C131" s="17"/>
      <c r="D131" s="17"/>
      <c r="E131" s="20">
        <f>IFERROR(SUMIF(RECETAS!$B:$B,B131,RECETAS!$H:$H),0)</f>
        <v>0</v>
      </c>
      <c r="F131" s="17"/>
      <c r="G131" s="17"/>
      <c r="H131" s="17"/>
      <c r="I131" s="17"/>
      <c r="J131" s="18">
        <f t="shared" si="7"/>
        <v>0</v>
      </c>
      <c r="K131" s="20">
        <f>IFERROR(CONFIGURACION!$B$5,0)</f>
        <v>4000</v>
      </c>
      <c r="L131" s="20">
        <f t="shared" si="8"/>
        <v>0</v>
      </c>
      <c r="M131" s="42">
        <f>IFERROR(CONFIGURACION!$B$9,0)</f>
        <v>0.15</v>
      </c>
      <c r="N131" s="20">
        <f t="shared" si="9"/>
        <v>0</v>
      </c>
      <c r="AO131" s="26">
        <f t="shared" si="10"/>
        <v>0</v>
      </c>
      <c r="AP131" s="20">
        <f>IFERROR(ROUNDUP(O131/(1-CONFIGURACION!$B$6),0),0)</f>
        <v>0</v>
      </c>
      <c r="AQ131" s="26">
        <f>IFERROR(ROUNDUP(O131/(1-CONFIGURACION!$B$7),0),0)</f>
        <v>0</v>
      </c>
      <c r="AR131" s="20">
        <f>IFERROR(ROUNDUP(O131/(1-CONFIGURACION!$B$8),0),0)</f>
        <v>0</v>
      </c>
      <c r="AS131" s="43"/>
      <c r="AT131" s="30">
        <f t="shared" si="11"/>
        <v>0</v>
      </c>
      <c r="AU131" s="18"/>
    </row>
    <row r="132" spans="1:47">
      <c r="A132" s="17"/>
      <c r="B132" s="17"/>
      <c r="C132" s="17"/>
      <c r="D132" s="17"/>
      <c r="E132" s="20">
        <f>IFERROR(SUMIF(RECETAS!$B:$B,B132,RECETAS!$H:$H),0)</f>
        <v>0</v>
      </c>
      <c r="F132" s="17"/>
      <c r="G132" s="17"/>
      <c r="H132" s="17"/>
      <c r="I132" s="17"/>
      <c r="J132" s="18">
        <f t="shared" si="7"/>
        <v>0</v>
      </c>
      <c r="K132" s="20">
        <f>IFERROR(CONFIGURACION!$B$5,0)</f>
        <v>4000</v>
      </c>
      <c r="L132" s="20">
        <f t="shared" si="8"/>
        <v>0</v>
      </c>
      <c r="M132" s="42">
        <f>IFERROR(CONFIGURACION!$B$9,0)</f>
        <v>0.15</v>
      </c>
      <c r="N132" s="20">
        <f t="shared" si="9"/>
        <v>0</v>
      </c>
      <c r="AO132" s="26">
        <f t="shared" si="10"/>
        <v>0</v>
      </c>
      <c r="AP132" s="20">
        <f>IFERROR(ROUNDUP(O132/(1-CONFIGURACION!$B$6),0),0)</f>
        <v>0</v>
      </c>
      <c r="AQ132" s="26">
        <f>IFERROR(ROUNDUP(O132/(1-CONFIGURACION!$B$7),0),0)</f>
        <v>0</v>
      </c>
      <c r="AR132" s="20">
        <f>IFERROR(ROUNDUP(O132/(1-CONFIGURACION!$B$8),0),0)</f>
        <v>0</v>
      </c>
      <c r="AS132" s="43"/>
      <c r="AT132" s="30">
        <f t="shared" si="11"/>
        <v>0</v>
      </c>
      <c r="AU132" s="18"/>
    </row>
    <row r="133" spans="1:47">
      <c r="A133" s="17"/>
      <c r="B133" s="17"/>
      <c r="C133" s="17"/>
      <c r="D133" s="17"/>
      <c r="E133" s="20">
        <f>IFERROR(SUMIF(RECETAS!$B:$B,B133,RECETAS!$H:$H),0)</f>
        <v>0</v>
      </c>
      <c r="F133" s="17"/>
      <c r="G133" s="17"/>
      <c r="H133" s="17"/>
      <c r="I133" s="17"/>
      <c r="J133" s="18">
        <f t="shared" ref="J133:J196" si="12">F133+G133+H133+I133</f>
        <v>0</v>
      </c>
      <c r="K133" s="20">
        <f>IFERROR(CONFIGURACION!$B$5,0)</f>
        <v>4000</v>
      </c>
      <c r="L133" s="20">
        <f t="shared" ref="L133:L196" si="13">IFERROR(J133*K133/60,0)</f>
        <v>0</v>
      </c>
      <c r="M133" s="42">
        <f>IFERROR(CONFIGURACION!$B$9,0)</f>
        <v>0.15</v>
      </c>
      <c r="N133" s="20">
        <f t="shared" ref="N133:N196" si="14">IFERROR((E133+L133)*M133,0)</f>
        <v>0</v>
      </c>
      <c r="AO133" s="26">
        <f t="shared" ref="AO133:AO196" si="15">IFERROR(E133+L133+N133,0)</f>
        <v>0</v>
      </c>
      <c r="AP133" s="20">
        <f>IFERROR(ROUNDUP(O133/(1-CONFIGURACION!$B$6),0),0)</f>
        <v>0</v>
      </c>
      <c r="AQ133" s="26">
        <f>IFERROR(ROUNDUP(O133/(1-CONFIGURACION!$B$7),0),0)</f>
        <v>0</v>
      </c>
      <c r="AR133" s="20">
        <f>IFERROR(ROUNDUP(O133/(1-CONFIGURACION!$B$8),0),0)</f>
        <v>0</v>
      </c>
      <c r="AS133" s="43"/>
      <c r="AT133" s="30">
        <f t="shared" ref="AT133:AT196" si="16">IF(S133&gt;0,(S133-O133)/S133,0)</f>
        <v>0</v>
      </c>
      <c r="AU133" s="18"/>
    </row>
    <row r="134" spans="1:47">
      <c r="A134" s="17"/>
      <c r="B134" s="17"/>
      <c r="C134" s="17"/>
      <c r="D134" s="17"/>
      <c r="E134" s="20">
        <f>IFERROR(SUMIF(RECETAS!$B:$B,B134,RECETAS!$H:$H),0)</f>
        <v>0</v>
      </c>
      <c r="F134" s="17"/>
      <c r="G134" s="17"/>
      <c r="H134" s="17"/>
      <c r="I134" s="17"/>
      <c r="J134" s="18">
        <f t="shared" si="12"/>
        <v>0</v>
      </c>
      <c r="K134" s="20">
        <f>IFERROR(CONFIGURACION!$B$5,0)</f>
        <v>4000</v>
      </c>
      <c r="L134" s="20">
        <f t="shared" si="13"/>
        <v>0</v>
      </c>
      <c r="M134" s="42">
        <f>IFERROR(CONFIGURACION!$B$9,0)</f>
        <v>0.15</v>
      </c>
      <c r="N134" s="20">
        <f t="shared" si="14"/>
        <v>0</v>
      </c>
      <c r="AO134" s="26">
        <f t="shared" si="15"/>
        <v>0</v>
      </c>
      <c r="AP134" s="20">
        <f>IFERROR(ROUNDUP(O134/(1-CONFIGURACION!$B$6),0),0)</f>
        <v>0</v>
      </c>
      <c r="AQ134" s="26">
        <f>IFERROR(ROUNDUP(O134/(1-CONFIGURACION!$B$7),0),0)</f>
        <v>0</v>
      </c>
      <c r="AR134" s="20">
        <f>IFERROR(ROUNDUP(O134/(1-CONFIGURACION!$B$8),0),0)</f>
        <v>0</v>
      </c>
      <c r="AS134" s="43"/>
      <c r="AT134" s="30">
        <f t="shared" si="16"/>
        <v>0</v>
      </c>
      <c r="AU134" s="18"/>
    </row>
    <row r="135" spans="1:47">
      <c r="A135" s="17"/>
      <c r="B135" s="17"/>
      <c r="C135" s="17"/>
      <c r="D135" s="17"/>
      <c r="E135" s="20">
        <f>IFERROR(SUMIF(RECETAS!$B:$B,B135,RECETAS!$H:$H),0)</f>
        <v>0</v>
      </c>
      <c r="F135" s="17"/>
      <c r="G135" s="17"/>
      <c r="H135" s="17"/>
      <c r="I135" s="17"/>
      <c r="J135" s="18">
        <f t="shared" si="12"/>
        <v>0</v>
      </c>
      <c r="K135" s="20">
        <f>IFERROR(CONFIGURACION!$B$5,0)</f>
        <v>4000</v>
      </c>
      <c r="L135" s="20">
        <f t="shared" si="13"/>
        <v>0</v>
      </c>
      <c r="M135" s="42">
        <f>IFERROR(CONFIGURACION!$B$9,0)</f>
        <v>0.15</v>
      </c>
      <c r="N135" s="20">
        <f t="shared" si="14"/>
        <v>0</v>
      </c>
      <c r="AO135" s="26">
        <f t="shared" si="15"/>
        <v>0</v>
      </c>
      <c r="AP135" s="20">
        <f>IFERROR(ROUNDUP(O135/(1-CONFIGURACION!$B$6),0),0)</f>
        <v>0</v>
      </c>
      <c r="AQ135" s="26">
        <f>IFERROR(ROUNDUP(O135/(1-CONFIGURACION!$B$7),0),0)</f>
        <v>0</v>
      </c>
      <c r="AR135" s="20">
        <f>IFERROR(ROUNDUP(O135/(1-CONFIGURACION!$B$8),0),0)</f>
        <v>0</v>
      </c>
      <c r="AS135" s="43"/>
      <c r="AT135" s="30">
        <f t="shared" si="16"/>
        <v>0</v>
      </c>
      <c r="AU135" s="18"/>
    </row>
    <row r="136" spans="1:47">
      <c r="A136" s="17"/>
      <c r="B136" s="17"/>
      <c r="C136" s="17"/>
      <c r="D136" s="17"/>
      <c r="E136" s="20">
        <f>IFERROR(SUMIF(RECETAS!$B:$B,B136,RECETAS!$H:$H),0)</f>
        <v>0</v>
      </c>
      <c r="F136" s="17"/>
      <c r="G136" s="17"/>
      <c r="H136" s="17"/>
      <c r="I136" s="17"/>
      <c r="J136" s="18">
        <f t="shared" si="12"/>
        <v>0</v>
      </c>
      <c r="K136" s="20">
        <f>IFERROR(CONFIGURACION!$B$5,0)</f>
        <v>4000</v>
      </c>
      <c r="L136" s="20">
        <f t="shared" si="13"/>
        <v>0</v>
      </c>
      <c r="M136" s="42">
        <f>IFERROR(CONFIGURACION!$B$9,0)</f>
        <v>0.15</v>
      </c>
      <c r="N136" s="20">
        <f t="shared" si="14"/>
        <v>0</v>
      </c>
      <c r="AO136" s="26">
        <f t="shared" si="15"/>
        <v>0</v>
      </c>
      <c r="AP136" s="20">
        <f>IFERROR(ROUNDUP(O136/(1-CONFIGURACION!$B$6),0),0)</f>
        <v>0</v>
      </c>
      <c r="AQ136" s="26">
        <f>IFERROR(ROUNDUP(O136/(1-CONFIGURACION!$B$7),0),0)</f>
        <v>0</v>
      </c>
      <c r="AR136" s="20">
        <f>IFERROR(ROUNDUP(O136/(1-CONFIGURACION!$B$8),0),0)</f>
        <v>0</v>
      </c>
      <c r="AS136" s="43"/>
      <c r="AT136" s="30">
        <f t="shared" si="16"/>
        <v>0</v>
      </c>
      <c r="AU136" s="18"/>
    </row>
    <row r="137" spans="1:47">
      <c r="A137" s="17"/>
      <c r="B137" s="17"/>
      <c r="C137" s="17"/>
      <c r="D137" s="17"/>
      <c r="E137" s="20">
        <f>IFERROR(SUMIF(RECETAS!$B:$B,B137,RECETAS!$H:$H),0)</f>
        <v>0</v>
      </c>
      <c r="F137" s="17"/>
      <c r="G137" s="17"/>
      <c r="H137" s="17"/>
      <c r="I137" s="17"/>
      <c r="J137" s="18">
        <f t="shared" si="12"/>
        <v>0</v>
      </c>
      <c r="K137" s="20">
        <f>IFERROR(CONFIGURACION!$B$5,0)</f>
        <v>4000</v>
      </c>
      <c r="L137" s="20">
        <f t="shared" si="13"/>
        <v>0</v>
      </c>
      <c r="M137" s="42">
        <f>IFERROR(CONFIGURACION!$B$9,0)</f>
        <v>0.15</v>
      </c>
      <c r="N137" s="20">
        <f t="shared" si="14"/>
        <v>0</v>
      </c>
      <c r="AO137" s="26">
        <f t="shared" si="15"/>
        <v>0</v>
      </c>
      <c r="AP137" s="20">
        <f>IFERROR(ROUNDUP(O137/(1-CONFIGURACION!$B$6),0),0)</f>
        <v>0</v>
      </c>
      <c r="AQ137" s="26">
        <f>IFERROR(ROUNDUP(O137/(1-CONFIGURACION!$B$7),0),0)</f>
        <v>0</v>
      </c>
      <c r="AR137" s="20">
        <f>IFERROR(ROUNDUP(O137/(1-CONFIGURACION!$B$8),0),0)</f>
        <v>0</v>
      </c>
      <c r="AS137" s="43"/>
      <c r="AT137" s="30">
        <f t="shared" si="16"/>
        <v>0</v>
      </c>
      <c r="AU137" s="18"/>
    </row>
    <row r="138" spans="1:47">
      <c r="A138" s="17"/>
      <c r="B138" s="17"/>
      <c r="C138" s="17"/>
      <c r="D138" s="17"/>
      <c r="E138" s="20">
        <f>IFERROR(SUMIF(RECETAS!$B:$B,B138,RECETAS!$H:$H),0)</f>
        <v>0</v>
      </c>
      <c r="F138" s="17"/>
      <c r="G138" s="17"/>
      <c r="H138" s="17"/>
      <c r="I138" s="17"/>
      <c r="J138" s="18">
        <f t="shared" si="12"/>
        <v>0</v>
      </c>
      <c r="K138" s="20">
        <f>IFERROR(CONFIGURACION!$B$5,0)</f>
        <v>4000</v>
      </c>
      <c r="L138" s="20">
        <f t="shared" si="13"/>
        <v>0</v>
      </c>
      <c r="M138" s="42">
        <f>IFERROR(CONFIGURACION!$B$9,0)</f>
        <v>0.15</v>
      </c>
      <c r="N138" s="20">
        <f t="shared" si="14"/>
        <v>0</v>
      </c>
      <c r="AO138" s="26">
        <f t="shared" si="15"/>
        <v>0</v>
      </c>
      <c r="AP138" s="20">
        <f>IFERROR(ROUNDUP(O138/(1-CONFIGURACION!$B$6),0),0)</f>
        <v>0</v>
      </c>
      <c r="AQ138" s="26">
        <f>IFERROR(ROUNDUP(O138/(1-CONFIGURACION!$B$7),0),0)</f>
        <v>0</v>
      </c>
      <c r="AR138" s="20">
        <f>IFERROR(ROUNDUP(O138/(1-CONFIGURACION!$B$8),0),0)</f>
        <v>0</v>
      </c>
      <c r="AS138" s="43"/>
      <c r="AT138" s="30">
        <f t="shared" si="16"/>
        <v>0</v>
      </c>
      <c r="AU138" s="18"/>
    </row>
    <row r="139" spans="1:47">
      <c r="A139" s="17"/>
      <c r="B139" s="17"/>
      <c r="C139" s="17"/>
      <c r="D139" s="17"/>
      <c r="E139" s="20">
        <f>IFERROR(SUMIF(RECETAS!$B:$B,B139,RECETAS!$H:$H),0)</f>
        <v>0</v>
      </c>
      <c r="F139" s="17"/>
      <c r="G139" s="17"/>
      <c r="H139" s="17"/>
      <c r="I139" s="17"/>
      <c r="J139" s="18">
        <f t="shared" si="12"/>
        <v>0</v>
      </c>
      <c r="K139" s="20">
        <f>IFERROR(CONFIGURACION!$B$5,0)</f>
        <v>4000</v>
      </c>
      <c r="L139" s="20">
        <f t="shared" si="13"/>
        <v>0</v>
      </c>
      <c r="M139" s="42">
        <f>IFERROR(CONFIGURACION!$B$9,0)</f>
        <v>0.15</v>
      </c>
      <c r="N139" s="20">
        <f t="shared" si="14"/>
        <v>0</v>
      </c>
      <c r="AO139" s="26">
        <f t="shared" si="15"/>
        <v>0</v>
      </c>
      <c r="AP139" s="20">
        <f>IFERROR(ROUNDUP(O139/(1-CONFIGURACION!$B$6),0),0)</f>
        <v>0</v>
      </c>
      <c r="AQ139" s="26">
        <f>IFERROR(ROUNDUP(O139/(1-CONFIGURACION!$B$7),0),0)</f>
        <v>0</v>
      </c>
      <c r="AR139" s="20">
        <f>IFERROR(ROUNDUP(O139/(1-CONFIGURACION!$B$8),0),0)</f>
        <v>0</v>
      </c>
      <c r="AS139" s="43"/>
      <c r="AT139" s="30">
        <f t="shared" si="16"/>
        <v>0</v>
      </c>
      <c r="AU139" s="18"/>
    </row>
    <row r="140" spans="1:47">
      <c r="A140" s="17"/>
      <c r="B140" s="17"/>
      <c r="C140" s="17"/>
      <c r="D140" s="17"/>
      <c r="E140" s="20">
        <f>IFERROR(SUMIF(RECETAS!$B:$B,B140,RECETAS!$H:$H),0)</f>
        <v>0</v>
      </c>
      <c r="F140" s="17"/>
      <c r="G140" s="17"/>
      <c r="H140" s="17"/>
      <c r="I140" s="17"/>
      <c r="J140" s="18">
        <f t="shared" si="12"/>
        <v>0</v>
      </c>
      <c r="K140" s="20">
        <f>IFERROR(CONFIGURACION!$B$5,0)</f>
        <v>4000</v>
      </c>
      <c r="L140" s="20">
        <f t="shared" si="13"/>
        <v>0</v>
      </c>
      <c r="M140" s="42">
        <f>IFERROR(CONFIGURACION!$B$9,0)</f>
        <v>0.15</v>
      </c>
      <c r="N140" s="20">
        <f t="shared" si="14"/>
        <v>0</v>
      </c>
      <c r="AO140" s="26">
        <f t="shared" si="15"/>
        <v>0</v>
      </c>
      <c r="AP140" s="20">
        <f>IFERROR(ROUNDUP(O140/(1-CONFIGURACION!$B$6),0),0)</f>
        <v>0</v>
      </c>
      <c r="AQ140" s="26">
        <f>IFERROR(ROUNDUP(O140/(1-CONFIGURACION!$B$7),0),0)</f>
        <v>0</v>
      </c>
      <c r="AR140" s="20">
        <f>IFERROR(ROUNDUP(O140/(1-CONFIGURACION!$B$8),0),0)</f>
        <v>0</v>
      </c>
      <c r="AS140" s="43"/>
      <c r="AT140" s="30">
        <f t="shared" si="16"/>
        <v>0</v>
      </c>
      <c r="AU140" s="18"/>
    </row>
    <row r="141" spans="1:47">
      <c r="A141" s="17"/>
      <c r="B141" s="17"/>
      <c r="C141" s="17"/>
      <c r="D141" s="17"/>
      <c r="E141" s="20">
        <f>IFERROR(SUMIF(RECETAS!$B:$B,B141,RECETAS!$H:$H),0)</f>
        <v>0</v>
      </c>
      <c r="F141" s="17"/>
      <c r="G141" s="17"/>
      <c r="H141" s="17"/>
      <c r="I141" s="17"/>
      <c r="J141" s="18">
        <f t="shared" si="12"/>
        <v>0</v>
      </c>
      <c r="K141" s="20">
        <f>IFERROR(CONFIGURACION!$B$5,0)</f>
        <v>4000</v>
      </c>
      <c r="L141" s="20">
        <f t="shared" si="13"/>
        <v>0</v>
      </c>
      <c r="M141" s="42">
        <f>IFERROR(CONFIGURACION!$B$9,0)</f>
        <v>0.15</v>
      </c>
      <c r="N141" s="20">
        <f t="shared" si="14"/>
        <v>0</v>
      </c>
      <c r="AO141" s="26">
        <f t="shared" si="15"/>
        <v>0</v>
      </c>
      <c r="AP141" s="20">
        <f>IFERROR(ROUNDUP(O141/(1-CONFIGURACION!$B$6),0),0)</f>
        <v>0</v>
      </c>
      <c r="AQ141" s="26">
        <f>IFERROR(ROUNDUP(O141/(1-CONFIGURACION!$B$7),0),0)</f>
        <v>0</v>
      </c>
      <c r="AR141" s="20">
        <f>IFERROR(ROUNDUP(O141/(1-CONFIGURACION!$B$8),0),0)</f>
        <v>0</v>
      </c>
      <c r="AS141" s="43"/>
      <c r="AT141" s="30">
        <f t="shared" si="16"/>
        <v>0</v>
      </c>
      <c r="AU141" s="18"/>
    </row>
    <row r="142" spans="1:47">
      <c r="A142" s="17"/>
      <c r="B142" s="17"/>
      <c r="C142" s="17"/>
      <c r="D142" s="17"/>
      <c r="E142" s="20">
        <f>IFERROR(SUMIF(RECETAS!$B:$B,B142,RECETAS!$H:$H),0)</f>
        <v>0</v>
      </c>
      <c r="F142" s="17"/>
      <c r="G142" s="17"/>
      <c r="H142" s="17"/>
      <c r="I142" s="17"/>
      <c r="J142" s="18">
        <f t="shared" si="12"/>
        <v>0</v>
      </c>
      <c r="K142" s="20">
        <f>IFERROR(CONFIGURACION!$B$5,0)</f>
        <v>4000</v>
      </c>
      <c r="L142" s="20">
        <f t="shared" si="13"/>
        <v>0</v>
      </c>
      <c r="M142" s="42">
        <f>IFERROR(CONFIGURACION!$B$9,0)</f>
        <v>0.15</v>
      </c>
      <c r="N142" s="20">
        <f t="shared" si="14"/>
        <v>0</v>
      </c>
      <c r="AO142" s="26">
        <f t="shared" si="15"/>
        <v>0</v>
      </c>
      <c r="AP142" s="20">
        <f>IFERROR(ROUNDUP(O142/(1-CONFIGURACION!$B$6),0),0)</f>
        <v>0</v>
      </c>
      <c r="AQ142" s="26">
        <f>IFERROR(ROUNDUP(O142/(1-CONFIGURACION!$B$7),0),0)</f>
        <v>0</v>
      </c>
      <c r="AR142" s="20">
        <f>IFERROR(ROUNDUP(O142/(1-CONFIGURACION!$B$8),0),0)</f>
        <v>0</v>
      </c>
      <c r="AS142" s="43"/>
      <c r="AT142" s="30">
        <f t="shared" si="16"/>
        <v>0</v>
      </c>
      <c r="AU142" s="18"/>
    </row>
    <row r="143" spans="1:47">
      <c r="A143" s="17"/>
      <c r="B143" s="17"/>
      <c r="C143" s="17"/>
      <c r="D143" s="17"/>
      <c r="E143" s="20">
        <f>IFERROR(SUMIF(RECETAS!$B:$B,B143,RECETAS!$H:$H),0)</f>
        <v>0</v>
      </c>
      <c r="F143" s="17"/>
      <c r="G143" s="17"/>
      <c r="H143" s="17"/>
      <c r="I143" s="17"/>
      <c r="J143" s="18">
        <f t="shared" si="12"/>
        <v>0</v>
      </c>
      <c r="K143" s="20">
        <f>IFERROR(CONFIGURACION!$B$5,0)</f>
        <v>4000</v>
      </c>
      <c r="L143" s="20">
        <f t="shared" si="13"/>
        <v>0</v>
      </c>
      <c r="M143" s="42">
        <f>IFERROR(CONFIGURACION!$B$9,0)</f>
        <v>0.15</v>
      </c>
      <c r="N143" s="20">
        <f t="shared" si="14"/>
        <v>0</v>
      </c>
      <c r="AO143" s="26">
        <f t="shared" si="15"/>
        <v>0</v>
      </c>
      <c r="AP143" s="20">
        <f>IFERROR(ROUNDUP(O143/(1-CONFIGURACION!$B$6),0),0)</f>
        <v>0</v>
      </c>
      <c r="AQ143" s="26">
        <f>IFERROR(ROUNDUP(O143/(1-CONFIGURACION!$B$7),0),0)</f>
        <v>0</v>
      </c>
      <c r="AR143" s="20">
        <f>IFERROR(ROUNDUP(O143/(1-CONFIGURACION!$B$8),0),0)</f>
        <v>0</v>
      </c>
      <c r="AS143" s="43"/>
      <c r="AT143" s="30">
        <f t="shared" si="16"/>
        <v>0</v>
      </c>
      <c r="AU143" s="18"/>
    </row>
    <row r="144" spans="1:47">
      <c r="A144" s="17"/>
      <c r="B144" s="17"/>
      <c r="C144" s="17"/>
      <c r="D144" s="17"/>
      <c r="E144" s="20">
        <f>IFERROR(SUMIF(RECETAS!$B:$B,B144,RECETAS!$H:$H),0)</f>
        <v>0</v>
      </c>
      <c r="F144" s="17"/>
      <c r="G144" s="17"/>
      <c r="H144" s="17"/>
      <c r="I144" s="17"/>
      <c r="J144" s="18">
        <f t="shared" si="12"/>
        <v>0</v>
      </c>
      <c r="K144" s="20">
        <f>IFERROR(CONFIGURACION!$B$5,0)</f>
        <v>4000</v>
      </c>
      <c r="L144" s="20">
        <f t="shared" si="13"/>
        <v>0</v>
      </c>
      <c r="M144" s="42">
        <f>IFERROR(CONFIGURACION!$B$9,0)</f>
        <v>0.15</v>
      </c>
      <c r="N144" s="20">
        <f t="shared" si="14"/>
        <v>0</v>
      </c>
      <c r="AO144" s="26">
        <f t="shared" si="15"/>
        <v>0</v>
      </c>
      <c r="AP144" s="20">
        <f>IFERROR(ROUNDUP(O144/(1-CONFIGURACION!$B$6),0),0)</f>
        <v>0</v>
      </c>
      <c r="AQ144" s="26">
        <f>IFERROR(ROUNDUP(O144/(1-CONFIGURACION!$B$7),0),0)</f>
        <v>0</v>
      </c>
      <c r="AR144" s="20">
        <f>IFERROR(ROUNDUP(O144/(1-CONFIGURACION!$B$8),0),0)</f>
        <v>0</v>
      </c>
      <c r="AS144" s="43"/>
      <c r="AT144" s="30">
        <f t="shared" si="16"/>
        <v>0</v>
      </c>
      <c r="AU144" s="18"/>
    </row>
    <row r="145" spans="1:47">
      <c r="A145" s="17"/>
      <c r="B145" s="17"/>
      <c r="C145" s="17"/>
      <c r="D145" s="17"/>
      <c r="E145" s="20">
        <f>IFERROR(SUMIF(RECETAS!$B:$B,B145,RECETAS!$H:$H),0)</f>
        <v>0</v>
      </c>
      <c r="F145" s="17"/>
      <c r="G145" s="17"/>
      <c r="H145" s="17"/>
      <c r="I145" s="17"/>
      <c r="J145" s="18">
        <f t="shared" si="12"/>
        <v>0</v>
      </c>
      <c r="K145" s="20">
        <f>IFERROR(CONFIGURACION!$B$5,0)</f>
        <v>4000</v>
      </c>
      <c r="L145" s="20">
        <f t="shared" si="13"/>
        <v>0</v>
      </c>
      <c r="M145" s="42">
        <f>IFERROR(CONFIGURACION!$B$9,0)</f>
        <v>0.15</v>
      </c>
      <c r="N145" s="20">
        <f t="shared" si="14"/>
        <v>0</v>
      </c>
      <c r="AO145" s="26">
        <f t="shared" si="15"/>
        <v>0</v>
      </c>
      <c r="AP145" s="20">
        <f>IFERROR(ROUNDUP(O145/(1-CONFIGURACION!$B$6),0),0)</f>
        <v>0</v>
      </c>
      <c r="AQ145" s="26">
        <f>IFERROR(ROUNDUP(O145/(1-CONFIGURACION!$B$7),0),0)</f>
        <v>0</v>
      </c>
      <c r="AR145" s="20">
        <f>IFERROR(ROUNDUP(O145/(1-CONFIGURACION!$B$8),0),0)</f>
        <v>0</v>
      </c>
      <c r="AS145" s="43"/>
      <c r="AT145" s="30">
        <f t="shared" si="16"/>
        <v>0</v>
      </c>
      <c r="AU145" s="18"/>
    </row>
    <row r="146" spans="1:47">
      <c r="A146" s="17"/>
      <c r="B146" s="17"/>
      <c r="C146" s="17"/>
      <c r="D146" s="17"/>
      <c r="E146" s="20">
        <f>IFERROR(SUMIF(RECETAS!$B:$B,B146,RECETAS!$H:$H),0)</f>
        <v>0</v>
      </c>
      <c r="F146" s="17"/>
      <c r="G146" s="17"/>
      <c r="H146" s="17"/>
      <c r="I146" s="17"/>
      <c r="J146" s="18">
        <f t="shared" si="12"/>
        <v>0</v>
      </c>
      <c r="K146" s="20">
        <f>IFERROR(CONFIGURACION!$B$5,0)</f>
        <v>4000</v>
      </c>
      <c r="L146" s="20">
        <f t="shared" si="13"/>
        <v>0</v>
      </c>
      <c r="M146" s="42">
        <f>IFERROR(CONFIGURACION!$B$9,0)</f>
        <v>0.15</v>
      </c>
      <c r="N146" s="20">
        <f t="shared" si="14"/>
        <v>0</v>
      </c>
      <c r="AO146" s="26">
        <f t="shared" si="15"/>
        <v>0</v>
      </c>
      <c r="AP146" s="20">
        <f>IFERROR(ROUNDUP(O146/(1-CONFIGURACION!$B$6),0),0)</f>
        <v>0</v>
      </c>
      <c r="AQ146" s="26">
        <f>IFERROR(ROUNDUP(O146/(1-CONFIGURACION!$B$7),0),0)</f>
        <v>0</v>
      </c>
      <c r="AR146" s="20">
        <f>IFERROR(ROUNDUP(O146/(1-CONFIGURACION!$B$8),0),0)</f>
        <v>0</v>
      </c>
      <c r="AS146" s="43"/>
      <c r="AT146" s="30">
        <f t="shared" si="16"/>
        <v>0</v>
      </c>
      <c r="AU146" s="18"/>
    </row>
    <row r="147" spans="1:47">
      <c r="A147" s="17"/>
      <c r="B147" s="17"/>
      <c r="C147" s="17"/>
      <c r="D147" s="17"/>
      <c r="E147" s="20">
        <f>IFERROR(SUMIF(RECETAS!$B:$B,B147,RECETAS!$H:$H),0)</f>
        <v>0</v>
      </c>
      <c r="F147" s="17"/>
      <c r="G147" s="17"/>
      <c r="H147" s="17"/>
      <c r="I147" s="17"/>
      <c r="J147" s="18">
        <f t="shared" si="12"/>
        <v>0</v>
      </c>
      <c r="K147" s="20">
        <f>IFERROR(CONFIGURACION!$B$5,0)</f>
        <v>4000</v>
      </c>
      <c r="L147" s="20">
        <f t="shared" si="13"/>
        <v>0</v>
      </c>
      <c r="M147" s="42">
        <f>IFERROR(CONFIGURACION!$B$9,0)</f>
        <v>0.15</v>
      </c>
      <c r="N147" s="20">
        <f t="shared" si="14"/>
        <v>0</v>
      </c>
      <c r="AO147" s="26">
        <f t="shared" si="15"/>
        <v>0</v>
      </c>
      <c r="AP147" s="20">
        <f>IFERROR(ROUNDUP(O147/(1-CONFIGURACION!$B$6),0),0)</f>
        <v>0</v>
      </c>
      <c r="AQ147" s="26">
        <f>IFERROR(ROUNDUP(O147/(1-CONFIGURACION!$B$7),0),0)</f>
        <v>0</v>
      </c>
      <c r="AR147" s="20">
        <f>IFERROR(ROUNDUP(O147/(1-CONFIGURACION!$B$8),0),0)</f>
        <v>0</v>
      </c>
      <c r="AS147" s="43"/>
      <c r="AT147" s="30">
        <f t="shared" si="16"/>
        <v>0</v>
      </c>
      <c r="AU147" s="18"/>
    </row>
    <row r="148" spans="1:47">
      <c r="A148" s="17"/>
      <c r="B148" s="17"/>
      <c r="C148" s="17"/>
      <c r="D148" s="17"/>
      <c r="E148" s="20">
        <f>IFERROR(SUMIF(RECETAS!$B:$B,B148,RECETAS!$H:$H),0)</f>
        <v>0</v>
      </c>
      <c r="F148" s="17"/>
      <c r="G148" s="17"/>
      <c r="H148" s="17"/>
      <c r="I148" s="17"/>
      <c r="J148" s="18">
        <f t="shared" si="12"/>
        <v>0</v>
      </c>
      <c r="K148" s="20">
        <f>IFERROR(CONFIGURACION!$B$5,0)</f>
        <v>4000</v>
      </c>
      <c r="L148" s="20">
        <f t="shared" si="13"/>
        <v>0</v>
      </c>
      <c r="M148" s="42">
        <f>IFERROR(CONFIGURACION!$B$9,0)</f>
        <v>0.15</v>
      </c>
      <c r="N148" s="20">
        <f t="shared" si="14"/>
        <v>0</v>
      </c>
      <c r="AO148" s="26">
        <f t="shared" si="15"/>
        <v>0</v>
      </c>
      <c r="AP148" s="20">
        <f>IFERROR(ROUNDUP(O148/(1-CONFIGURACION!$B$6),0),0)</f>
        <v>0</v>
      </c>
      <c r="AQ148" s="26">
        <f>IFERROR(ROUNDUP(O148/(1-CONFIGURACION!$B$7),0),0)</f>
        <v>0</v>
      </c>
      <c r="AR148" s="20">
        <f>IFERROR(ROUNDUP(O148/(1-CONFIGURACION!$B$8),0),0)</f>
        <v>0</v>
      </c>
      <c r="AS148" s="43"/>
      <c r="AT148" s="30">
        <f t="shared" si="16"/>
        <v>0</v>
      </c>
      <c r="AU148" s="18"/>
    </row>
    <row r="149" spans="1:47">
      <c r="A149" s="17"/>
      <c r="B149" s="17"/>
      <c r="C149" s="17"/>
      <c r="D149" s="17"/>
      <c r="E149" s="20">
        <f>IFERROR(SUMIF(RECETAS!$B:$B,B149,RECETAS!$H:$H),0)</f>
        <v>0</v>
      </c>
      <c r="F149" s="17"/>
      <c r="G149" s="17"/>
      <c r="H149" s="17"/>
      <c r="I149" s="17"/>
      <c r="J149" s="18">
        <f t="shared" si="12"/>
        <v>0</v>
      </c>
      <c r="K149" s="20">
        <f>IFERROR(CONFIGURACION!$B$5,0)</f>
        <v>4000</v>
      </c>
      <c r="L149" s="20">
        <f t="shared" si="13"/>
        <v>0</v>
      </c>
      <c r="M149" s="42">
        <f>IFERROR(CONFIGURACION!$B$9,0)</f>
        <v>0.15</v>
      </c>
      <c r="N149" s="20">
        <f t="shared" si="14"/>
        <v>0</v>
      </c>
      <c r="AO149" s="26">
        <f t="shared" si="15"/>
        <v>0</v>
      </c>
      <c r="AP149" s="20">
        <f>IFERROR(ROUNDUP(O149/(1-CONFIGURACION!$B$6),0),0)</f>
        <v>0</v>
      </c>
      <c r="AQ149" s="26">
        <f>IFERROR(ROUNDUP(O149/(1-CONFIGURACION!$B$7),0),0)</f>
        <v>0</v>
      </c>
      <c r="AR149" s="20">
        <f>IFERROR(ROUNDUP(O149/(1-CONFIGURACION!$B$8),0),0)</f>
        <v>0</v>
      </c>
      <c r="AS149" s="43"/>
      <c r="AT149" s="30">
        <f t="shared" si="16"/>
        <v>0</v>
      </c>
      <c r="AU149" s="18"/>
    </row>
    <row r="150" spans="1:47">
      <c r="A150" s="17"/>
      <c r="B150" s="17"/>
      <c r="C150" s="17"/>
      <c r="D150" s="17"/>
      <c r="E150" s="20">
        <f>IFERROR(SUMIF(RECETAS!$B:$B,B150,RECETAS!$H:$H),0)</f>
        <v>0</v>
      </c>
      <c r="F150" s="17"/>
      <c r="G150" s="17"/>
      <c r="H150" s="17"/>
      <c r="I150" s="17"/>
      <c r="J150" s="18">
        <f t="shared" si="12"/>
        <v>0</v>
      </c>
      <c r="K150" s="20">
        <f>IFERROR(CONFIGURACION!$B$5,0)</f>
        <v>4000</v>
      </c>
      <c r="L150" s="20">
        <f t="shared" si="13"/>
        <v>0</v>
      </c>
      <c r="M150" s="42">
        <f>IFERROR(CONFIGURACION!$B$9,0)</f>
        <v>0.15</v>
      </c>
      <c r="N150" s="20">
        <f t="shared" si="14"/>
        <v>0</v>
      </c>
      <c r="AO150" s="26">
        <f t="shared" si="15"/>
        <v>0</v>
      </c>
      <c r="AP150" s="20">
        <f>IFERROR(ROUNDUP(O150/(1-CONFIGURACION!$B$6),0),0)</f>
        <v>0</v>
      </c>
      <c r="AQ150" s="26">
        <f>IFERROR(ROUNDUP(O150/(1-CONFIGURACION!$B$7),0),0)</f>
        <v>0</v>
      </c>
      <c r="AR150" s="20">
        <f>IFERROR(ROUNDUP(O150/(1-CONFIGURACION!$B$8),0),0)</f>
        <v>0</v>
      </c>
      <c r="AS150" s="43"/>
      <c r="AT150" s="30">
        <f t="shared" si="16"/>
        <v>0</v>
      </c>
      <c r="AU150" s="18"/>
    </row>
    <row r="151" spans="1:47">
      <c r="A151" s="17"/>
      <c r="B151" s="17"/>
      <c r="C151" s="17"/>
      <c r="D151" s="17"/>
      <c r="E151" s="20">
        <f>IFERROR(SUMIF(RECETAS!$B:$B,B151,RECETAS!$H:$H),0)</f>
        <v>0</v>
      </c>
      <c r="F151" s="17"/>
      <c r="G151" s="17"/>
      <c r="H151" s="17"/>
      <c r="I151" s="17"/>
      <c r="J151" s="18">
        <f t="shared" si="12"/>
        <v>0</v>
      </c>
      <c r="K151" s="20">
        <f>IFERROR(CONFIGURACION!$B$5,0)</f>
        <v>4000</v>
      </c>
      <c r="L151" s="20">
        <f t="shared" si="13"/>
        <v>0</v>
      </c>
      <c r="M151" s="42">
        <f>IFERROR(CONFIGURACION!$B$9,0)</f>
        <v>0.15</v>
      </c>
      <c r="N151" s="20">
        <f t="shared" si="14"/>
        <v>0</v>
      </c>
      <c r="AO151" s="26">
        <f t="shared" si="15"/>
        <v>0</v>
      </c>
      <c r="AP151" s="20">
        <f>IFERROR(ROUNDUP(O151/(1-CONFIGURACION!$B$6),0),0)</f>
        <v>0</v>
      </c>
      <c r="AQ151" s="26">
        <f>IFERROR(ROUNDUP(O151/(1-CONFIGURACION!$B$7),0),0)</f>
        <v>0</v>
      </c>
      <c r="AR151" s="20">
        <f>IFERROR(ROUNDUP(O151/(1-CONFIGURACION!$B$8),0),0)</f>
        <v>0</v>
      </c>
      <c r="AS151" s="43"/>
      <c r="AT151" s="30">
        <f t="shared" si="16"/>
        <v>0</v>
      </c>
      <c r="AU151" s="18"/>
    </row>
    <row r="152" spans="1:47">
      <c r="A152" s="17"/>
      <c r="B152" s="17"/>
      <c r="C152" s="17"/>
      <c r="D152" s="17"/>
      <c r="E152" s="20">
        <f>IFERROR(SUMIF(RECETAS!$B:$B,B152,RECETAS!$H:$H),0)</f>
        <v>0</v>
      </c>
      <c r="F152" s="17"/>
      <c r="G152" s="17"/>
      <c r="H152" s="17"/>
      <c r="I152" s="17"/>
      <c r="J152" s="18">
        <f t="shared" si="12"/>
        <v>0</v>
      </c>
      <c r="K152" s="20">
        <f>IFERROR(CONFIGURACION!$B$5,0)</f>
        <v>4000</v>
      </c>
      <c r="L152" s="20">
        <f t="shared" si="13"/>
        <v>0</v>
      </c>
      <c r="M152" s="42">
        <f>IFERROR(CONFIGURACION!$B$9,0)</f>
        <v>0.15</v>
      </c>
      <c r="N152" s="20">
        <f t="shared" si="14"/>
        <v>0</v>
      </c>
      <c r="AO152" s="26">
        <f t="shared" si="15"/>
        <v>0</v>
      </c>
      <c r="AP152" s="20">
        <f>IFERROR(ROUNDUP(O152/(1-CONFIGURACION!$B$6),0),0)</f>
        <v>0</v>
      </c>
      <c r="AQ152" s="26">
        <f>IFERROR(ROUNDUP(O152/(1-CONFIGURACION!$B$7),0),0)</f>
        <v>0</v>
      </c>
      <c r="AR152" s="20">
        <f>IFERROR(ROUNDUP(O152/(1-CONFIGURACION!$B$8),0),0)</f>
        <v>0</v>
      </c>
      <c r="AS152" s="43"/>
      <c r="AT152" s="30">
        <f t="shared" si="16"/>
        <v>0</v>
      </c>
      <c r="AU152" s="18"/>
    </row>
    <row r="153" spans="1:47">
      <c r="A153" s="17"/>
      <c r="B153" s="17"/>
      <c r="C153" s="17"/>
      <c r="D153" s="17"/>
      <c r="E153" s="20">
        <f>IFERROR(SUMIF(RECETAS!$B:$B,B153,RECETAS!$H:$H),0)</f>
        <v>0</v>
      </c>
      <c r="F153" s="17"/>
      <c r="G153" s="17"/>
      <c r="H153" s="17"/>
      <c r="I153" s="17"/>
      <c r="J153" s="18">
        <f t="shared" si="12"/>
        <v>0</v>
      </c>
      <c r="K153" s="20">
        <f>IFERROR(CONFIGURACION!$B$5,0)</f>
        <v>4000</v>
      </c>
      <c r="L153" s="20">
        <f t="shared" si="13"/>
        <v>0</v>
      </c>
      <c r="M153" s="42">
        <f>IFERROR(CONFIGURACION!$B$9,0)</f>
        <v>0.15</v>
      </c>
      <c r="N153" s="20">
        <f t="shared" si="14"/>
        <v>0</v>
      </c>
      <c r="AO153" s="26">
        <f t="shared" si="15"/>
        <v>0</v>
      </c>
      <c r="AP153" s="20">
        <f>IFERROR(ROUNDUP(O153/(1-CONFIGURACION!$B$6),0),0)</f>
        <v>0</v>
      </c>
      <c r="AQ153" s="26">
        <f>IFERROR(ROUNDUP(O153/(1-CONFIGURACION!$B$7),0),0)</f>
        <v>0</v>
      </c>
      <c r="AR153" s="20">
        <f>IFERROR(ROUNDUP(O153/(1-CONFIGURACION!$B$8),0),0)</f>
        <v>0</v>
      </c>
      <c r="AS153" s="43"/>
      <c r="AT153" s="30">
        <f t="shared" si="16"/>
        <v>0</v>
      </c>
      <c r="AU153" s="18"/>
    </row>
    <row r="154" spans="1:47">
      <c r="A154" s="17"/>
      <c r="B154" s="17"/>
      <c r="C154" s="17"/>
      <c r="D154" s="17"/>
      <c r="E154" s="20">
        <f>IFERROR(SUMIF(RECETAS!$B:$B,B154,RECETAS!$H:$H),0)</f>
        <v>0</v>
      </c>
      <c r="F154" s="17"/>
      <c r="G154" s="17"/>
      <c r="H154" s="17"/>
      <c r="I154" s="17"/>
      <c r="J154" s="18">
        <f t="shared" si="12"/>
        <v>0</v>
      </c>
      <c r="K154" s="20">
        <f>IFERROR(CONFIGURACION!$B$5,0)</f>
        <v>4000</v>
      </c>
      <c r="L154" s="20">
        <f t="shared" si="13"/>
        <v>0</v>
      </c>
      <c r="M154" s="42">
        <f>IFERROR(CONFIGURACION!$B$9,0)</f>
        <v>0.15</v>
      </c>
      <c r="N154" s="20">
        <f t="shared" si="14"/>
        <v>0</v>
      </c>
      <c r="AO154" s="26">
        <f t="shared" si="15"/>
        <v>0</v>
      </c>
      <c r="AP154" s="20">
        <f>IFERROR(ROUNDUP(O154/(1-CONFIGURACION!$B$6),0),0)</f>
        <v>0</v>
      </c>
      <c r="AQ154" s="26">
        <f>IFERROR(ROUNDUP(O154/(1-CONFIGURACION!$B$7),0),0)</f>
        <v>0</v>
      </c>
      <c r="AR154" s="20">
        <f>IFERROR(ROUNDUP(O154/(1-CONFIGURACION!$B$8),0),0)</f>
        <v>0</v>
      </c>
      <c r="AS154" s="43"/>
      <c r="AT154" s="30">
        <f t="shared" si="16"/>
        <v>0</v>
      </c>
      <c r="AU154" s="18"/>
    </row>
    <row r="155" spans="1:47">
      <c r="A155" s="17"/>
      <c r="B155" s="17"/>
      <c r="C155" s="17"/>
      <c r="D155" s="17"/>
      <c r="E155" s="20">
        <f>IFERROR(SUMIF(RECETAS!$B:$B,B155,RECETAS!$H:$H),0)</f>
        <v>0</v>
      </c>
      <c r="F155" s="17"/>
      <c r="G155" s="17"/>
      <c r="H155" s="17"/>
      <c r="I155" s="17"/>
      <c r="J155" s="18">
        <f t="shared" si="12"/>
        <v>0</v>
      </c>
      <c r="K155" s="20">
        <f>IFERROR(CONFIGURACION!$B$5,0)</f>
        <v>4000</v>
      </c>
      <c r="L155" s="20">
        <f t="shared" si="13"/>
        <v>0</v>
      </c>
      <c r="M155" s="42">
        <f>IFERROR(CONFIGURACION!$B$9,0)</f>
        <v>0.15</v>
      </c>
      <c r="N155" s="20">
        <f t="shared" si="14"/>
        <v>0</v>
      </c>
      <c r="AO155" s="26">
        <f t="shared" si="15"/>
        <v>0</v>
      </c>
      <c r="AP155" s="20">
        <f>IFERROR(ROUNDUP(O155/(1-CONFIGURACION!$B$6),0),0)</f>
        <v>0</v>
      </c>
      <c r="AQ155" s="26">
        <f>IFERROR(ROUNDUP(O155/(1-CONFIGURACION!$B$7),0),0)</f>
        <v>0</v>
      </c>
      <c r="AR155" s="20">
        <f>IFERROR(ROUNDUP(O155/(1-CONFIGURACION!$B$8),0),0)</f>
        <v>0</v>
      </c>
      <c r="AS155" s="43"/>
      <c r="AT155" s="30">
        <f t="shared" si="16"/>
        <v>0</v>
      </c>
      <c r="AU155" s="18"/>
    </row>
    <row r="156" spans="1:47">
      <c r="A156" s="17"/>
      <c r="B156" s="17"/>
      <c r="C156" s="17"/>
      <c r="D156" s="17"/>
      <c r="E156" s="20">
        <f>IFERROR(SUMIF(RECETAS!$B:$B,B156,RECETAS!$H:$H),0)</f>
        <v>0</v>
      </c>
      <c r="F156" s="17"/>
      <c r="G156" s="17"/>
      <c r="H156" s="17"/>
      <c r="I156" s="17"/>
      <c r="J156" s="18">
        <f t="shared" si="12"/>
        <v>0</v>
      </c>
      <c r="K156" s="20">
        <f>IFERROR(CONFIGURACION!$B$5,0)</f>
        <v>4000</v>
      </c>
      <c r="L156" s="20">
        <f t="shared" si="13"/>
        <v>0</v>
      </c>
      <c r="M156" s="42">
        <f>IFERROR(CONFIGURACION!$B$9,0)</f>
        <v>0.15</v>
      </c>
      <c r="N156" s="20">
        <f t="shared" si="14"/>
        <v>0</v>
      </c>
      <c r="AO156" s="26">
        <f t="shared" si="15"/>
        <v>0</v>
      </c>
      <c r="AP156" s="20">
        <f>IFERROR(ROUNDUP(O156/(1-CONFIGURACION!$B$6),0),0)</f>
        <v>0</v>
      </c>
      <c r="AQ156" s="26">
        <f>IFERROR(ROUNDUP(O156/(1-CONFIGURACION!$B$7),0),0)</f>
        <v>0</v>
      </c>
      <c r="AR156" s="20">
        <f>IFERROR(ROUNDUP(O156/(1-CONFIGURACION!$B$8),0),0)</f>
        <v>0</v>
      </c>
      <c r="AS156" s="43"/>
      <c r="AT156" s="30">
        <f t="shared" si="16"/>
        <v>0</v>
      </c>
      <c r="AU156" s="18"/>
    </row>
    <row r="157" spans="1:47">
      <c r="A157" s="17"/>
      <c r="B157" s="17"/>
      <c r="C157" s="17"/>
      <c r="D157" s="17"/>
      <c r="E157" s="20">
        <f>IFERROR(SUMIF(RECETAS!$B:$B,B157,RECETAS!$H:$H),0)</f>
        <v>0</v>
      </c>
      <c r="F157" s="17"/>
      <c r="G157" s="17"/>
      <c r="H157" s="17"/>
      <c r="I157" s="17"/>
      <c r="J157" s="18">
        <f t="shared" si="12"/>
        <v>0</v>
      </c>
      <c r="K157" s="20">
        <f>IFERROR(CONFIGURACION!$B$5,0)</f>
        <v>4000</v>
      </c>
      <c r="L157" s="20">
        <f t="shared" si="13"/>
        <v>0</v>
      </c>
      <c r="M157" s="42">
        <f>IFERROR(CONFIGURACION!$B$9,0)</f>
        <v>0.15</v>
      </c>
      <c r="N157" s="20">
        <f t="shared" si="14"/>
        <v>0</v>
      </c>
      <c r="AO157" s="26">
        <f t="shared" si="15"/>
        <v>0</v>
      </c>
      <c r="AP157" s="20">
        <f>IFERROR(ROUNDUP(O157/(1-CONFIGURACION!$B$6),0),0)</f>
        <v>0</v>
      </c>
      <c r="AQ157" s="26">
        <f>IFERROR(ROUNDUP(O157/(1-CONFIGURACION!$B$7),0),0)</f>
        <v>0</v>
      </c>
      <c r="AR157" s="20">
        <f>IFERROR(ROUNDUP(O157/(1-CONFIGURACION!$B$8),0),0)</f>
        <v>0</v>
      </c>
      <c r="AS157" s="43"/>
      <c r="AT157" s="30">
        <f t="shared" si="16"/>
        <v>0</v>
      </c>
      <c r="AU157" s="18"/>
    </row>
    <row r="158" spans="1:47">
      <c r="A158" s="17"/>
      <c r="B158" s="17"/>
      <c r="C158" s="17"/>
      <c r="D158" s="17"/>
      <c r="E158" s="20">
        <f>IFERROR(SUMIF(RECETAS!$B:$B,B158,RECETAS!$H:$H),0)</f>
        <v>0</v>
      </c>
      <c r="F158" s="17"/>
      <c r="G158" s="17"/>
      <c r="H158" s="17"/>
      <c r="I158" s="17"/>
      <c r="J158" s="18">
        <f t="shared" si="12"/>
        <v>0</v>
      </c>
      <c r="K158" s="20">
        <f>IFERROR(CONFIGURACION!$B$5,0)</f>
        <v>4000</v>
      </c>
      <c r="L158" s="20">
        <f t="shared" si="13"/>
        <v>0</v>
      </c>
      <c r="M158" s="42">
        <f>IFERROR(CONFIGURACION!$B$9,0)</f>
        <v>0.15</v>
      </c>
      <c r="N158" s="20">
        <f t="shared" si="14"/>
        <v>0</v>
      </c>
      <c r="AO158" s="26">
        <f t="shared" si="15"/>
        <v>0</v>
      </c>
      <c r="AP158" s="20">
        <f>IFERROR(ROUNDUP(O158/(1-CONFIGURACION!$B$6),0),0)</f>
        <v>0</v>
      </c>
      <c r="AQ158" s="26">
        <f>IFERROR(ROUNDUP(O158/(1-CONFIGURACION!$B$7),0),0)</f>
        <v>0</v>
      </c>
      <c r="AR158" s="20">
        <f>IFERROR(ROUNDUP(O158/(1-CONFIGURACION!$B$8),0),0)</f>
        <v>0</v>
      </c>
      <c r="AS158" s="43"/>
      <c r="AT158" s="30">
        <f t="shared" si="16"/>
        <v>0</v>
      </c>
      <c r="AU158" s="18"/>
    </row>
    <row r="159" spans="1:47">
      <c r="A159" s="17"/>
      <c r="B159" s="17"/>
      <c r="C159" s="17"/>
      <c r="D159" s="17"/>
      <c r="E159" s="20">
        <f>IFERROR(SUMIF(RECETAS!$B:$B,B159,RECETAS!$H:$H),0)</f>
        <v>0</v>
      </c>
      <c r="F159" s="17"/>
      <c r="G159" s="17"/>
      <c r="H159" s="17"/>
      <c r="I159" s="17"/>
      <c r="J159" s="18">
        <f t="shared" si="12"/>
        <v>0</v>
      </c>
      <c r="K159" s="20">
        <f>IFERROR(CONFIGURACION!$B$5,0)</f>
        <v>4000</v>
      </c>
      <c r="L159" s="20">
        <f t="shared" si="13"/>
        <v>0</v>
      </c>
      <c r="M159" s="42">
        <f>IFERROR(CONFIGURACION!$B$9,0)</f>
        <v>0.15</v>
      </c>
      <c r="N159" s="20">
        <f t="shared" si="14"/>
        <v>0</v>
      </c>
      <c r="AO159" s="26">
        <f t="shared" si="15"/>
        <v>0</v>
      </c>
      <c r="AP159" s="20">
        <f>IFERROR(ROUNDUP(O159/(1-CONFIGURACION!$B$6),0),0)</f>
        <v>0</v>
      </c>
      <c r="AQ159" s="26">
        <f>IFERROR(ROUNDUP(O159/(1-CONFIGURACION!$B$7),0),0)</f>
        <v>0</v>
      </c>
      <c r="AR159" s="20">
        <f>IFERROR(ROUNDUP(O159/(1-CONFIGURACION!$B$8),0),0)</f>
        <v>0</v>
      </c>
      <c r="AS159" s="43"/>
      <c r="AT159" s="30">
        <f t="shared" si="16"/>
        <v>0</v>
      </c>
      <c r="AU159" s="18"/>
    </row>
    <row r="160" spans="1:47">
      <c r="A160" s="17"/>
      <c r="B160" s="17"/>
      <c r="C160" s="17"/>
      <c r="D160" s="17"/>
      <c r="E160" s="20">
        <f>IFERROR(SUMIF(RECETAS!$B:$B,B160,RECETAS!$H:$H),0)</f>
        <v>0</v>
      </c>
      <c r="F160" s="17"/>
      <c r="G160" s="17"/>
      <c r="H160" s="17"/>
      <c r="I160" s="17"/>
      <c r="J160" s="18">
        <f t="shared" si="12"/>
        <v>0</v>
      </c>
      <c r="K160" s="20">
        <f>IFERROR(CONFIGURACION!$B$5,0)</f>
        <v>4000</v>
      </c>
      <c r="L160" s="20">
        <f t="shared" si="13"/>
        <v>0</v>
      </c>
      <c r="M160" s="42">
        <f>IFERROR(CONFIGURACION!$B$9,0)</f>
        <v>0.15</v>
      </c>
      <c r="N160" s="20">
        <f t="shared" si="14"/>
        <v>0</v>
      </c>
      <c r="AO160" s="26">
        <f t="shared" si="15"/>
        <v>0</v>
      </c>
      <c r="AP160" s="20">
        <f>IFERROR(ROUNDUP(O160/(1-CONFIGURACION!$B$6),0),0)</f>
        <v>0</v>
      </c>
      <c r="AQ160" s="26">
        <f>IFERROR(ROUNDUP(O160/(1-CONFIGURACION!$B$7),0),0)</f>
        <v>0</v>
      </c>
      <c r="AR160" s="20">
        <f>IFERROR(ROUNDUP(O160/(1-CONFIGURACION!$B$8),0),0)</f>
        <v>0</v>
      </c>
      <c r="AS160" s="43"/>
      <c r="AT160" s="30">
        <f t="shared" si="16"/>
        <v>0</v>
      </c>
      <c r="AU160" s="18"/>
    </row>
    <row r="161" spans="1:47">
      <c r="A161" s="17"/>
      <c r="B161" s="17"/>
      <c r="C161" s="17"/>
      <c r="D161" s="17"/>
      <c r="E161" s="20">
        <f>IFERROR(SUMIF(RECETAS!$B:$B,B161,RECETAS!$H:$H),0)</f>
        <v>0</v>
      </c>
      <c r="F161" s="17"/>
      <c r="G161" s="17"/>
      <c r="H161" s="17"/>
      <c r="I161" s="17"/>
      <c r="J161" s="18">
        <f t="shared" si="12"/>
        <v>0</v>
      </c>
      <c r="K161" s="20">
        <f>IFERROR(CONFIGURACION!$B$5,0)</f>
        <v>4000</v>
      </c>
      <c r="L161" s="20">
        <f t="shared" si="13"/>
        <v>0</v>
      </c>
      <c r="M161" s="42">
        <f>IFERROR(CONFIGURACION!$B$9,0)</f>
        <v>0.15</v>
      </c>
      <c r="N161" s="20">
        <f t="shared" si="14"/>
        <v>0</v>
      </c>
      <c r="AO161" s="26">
        <f t="shared" si="15"/>
        <v>0</v>
      </c>
      <c r="AP161" s="20">
        <f>IFERROR(ROUNDUP(O161/(1-CONFIGURACION!$B$6),0),0)</f>
        <v>0</v>
      </c>
      <c r="AQ161" s="26">
        <f>IFERROR(ROUNDUP(O161/(1-CONFIGURACION!$B$7),0),0)</f>
        <v>0</v>
      </c>
      <c r="AR161" s="20">
        <f>IFERROR(ROUNDUP(O161/(1-CONFIGURACION!$B$8),0),0)</f>
        <v>0</v>
      </c>
      <c r="AS161" s="43"/>
      <c r="AT161" s="30">
        <f t="shared" si="16"/>
        <v>0</v>
      </c>
      <c r="AU161" s="18"/>
    </row>
    <row r="162" spans="1:47">
      <c r="A162" s="17"/>
      <c r="B162" s="17"/>
      <c r="C162" s="17"/>
      <c r="D162" s="17"/>
      <c r="E162" s="20">
        <f>IFERROR(SUMIF(RECETAS!$B:$B,B162,RECETAS!$H:$H),0)</f>
        <v>0</v>
      </c>
      <c r="F162" s="17"/>
      <c r="G162" s="17"/>
      <c r="H162" s="17"/>
      <c r="I162" s="17"/>
      <c r="J162" s="18">
        <f t="shared" si="12"/>
        <v>0</v>
      </c>
      <c r="K162" s="20">
        <f>IFERROR(CONFIGURACION!$B$5,0)</f>
        <v>4000</v>
      </c>
      <c r="L162" s="20">
        <f t="shared" si="13"/>
        <v>0</v>
      </c>
      <c r="M162" s="42">
        <f>IFERROR(CONFIGURACION!$B$9,0)</f>
        <v>0.15</v>
      </c>
      <c r="N162" s="20">
        <f t="shared" si="14"/>
        <v>0</v>
      </c>
      <c r="AO162" s="26">
        <f t="shared" si="15"/>
        <v>0</v>
      </c>
      <c r="AP162" s="20">
        <f>IFERROR(ROUNDUP(O162/(1-CONFIGURACION!$B$6),0),0)</f>
        <v>0</v>
      </c>
      <c r="AQ162" s="26">
        <f>IFERROR(ROUNDUP(O162/(1-CONFIGURACION!$B$7),0),0)</f>
        <v>0</v>
      </c>
      <c r="AR162" s="20">
        <f>IFERROR(ROUNDUP(O162/(1-CONFIGURACION!$B$8),0),0)</f>
        <v>0</v>
      </c>
      <c r="AS162" s="43"/>
      <c r="AT162" s="30">
        <f t="shared" si="16"/>
        <v>0</v>
      </c>
      <c r="AU162" s="18"/>
    </row>
    <row r="163" spans="1:47">
      <c r="A163" s="17"/>
      <c r="B163" s="17"/>
      <c r="C163" s="17"/>
      <c r="D163" s="17"/>
      <c r="E163" s="20">
        <f>IFERROR(SUMIF(RECETAS!$B:$B,B163,RECETAS!$H:$H),0)</f>
        <v>0</v>
      </c>
      <c r="F163" s="17"/>
      <c r="G163" s="17"/>
      <c r="H163" s="17"/>
      <c r="I163" s="17"/>
      <c r="J163" s="18">
        <f t="shared" si="12"/>
        <v>0</v>
      </c>
      <c r="K163" s="20">
        <f>IFERROR(CONFIGURACION!$B$5,0)</f>
        <v>4000</v>
      </c>
      <c r="L163" s="20">
        <f t="shared" si="13"/>
        <v>0</v>
      </c>
      <c r="M163" s="42">
        <f>IFERROR(CONFIGURACION!$B$9,0)</f>
        <v>0.15</v>
      </c>
      <c r="N163" s="20">
        <f t="shared" si="14"/>
        <v>0</v>
      </c>
      <c r="AO163" s="26">
        <f t="shared" si="15"/>
        <v>0</v>
      </c>
      <c r="AP163" s="20">
        <f>IFERROR(ROUNDUP(O163/(1-CONFIGURACION!$B$6),0),0)</f>
        <v>0</v>
      </c>
      <c r="AQ163" s="26">
        <f>IFERROR(ROUNDUP(O163/(1-CONFIGURACION!$B$7),0),0)</f>
        <v>0</v>
      </c>
      <c r="AR163" s="20">
        <f>IFERROR(ROUNDUP(O163/(1-CONFIGURACION!$B$8),0),0)</f>
        <v>0</v>
      </c>
      <c r="AS163" s="43"/>
      <c r="AT163" s="30">
        <f t="shared" si="16"/>
        <v>0</v>
      </c>
      <c r="AU163" s="18"/>
    </row>
    <row r="164" spans="1:47">
      <c r="A164" s="17"/>
      <c r="B164" s="17"/>
      <c r="C164" s="17"/>
      <c r="D164" s="17"/>
      <c r="E164" s="20">
        <f>IFERROR(SUMIF(RECETAS!$B:$B,B164,RECETAS!$H:$H),0)</f>
        <v>0</v>
      </c>
      <c r="F164" s="17"/>
      <c r="G164" s="17"/>
      <c r="H164" s="17"/>
      <c r="I164" s="17"/>
      <c r="J164" s="18">
        <f t="shared" si="12"/>
        <v>0</v>
      </c>
      <c r="K164" s="20">
        <f>IFERROR(CONFIGURACION!$B$5,0)</f>
        <v>4000</v>
      </c>
      <c r="L164" s="20">
        <f t="shared" si="13"/>
        <v>0</v>
      </c>
      <c r="M164" s="42">
        <f>IFERROR(CONFIGURACION!$B$9,0)</f>
        <v>0.15</v>
      </c>
      <c r="N164" s="20">
        <f t="shared" si="14"/>
        <v>0</v>
      </c>
      <c r="AO164" s="26">
        <f t="shared" si="15"/>
        <v>0</v>
      </c>
      <c r="AP164" s="20">
        <f>IFERROR(ROUNDUP(O164/(1-CONFIGURACION!$B$6),0),0)</f>
        <v>0</v>
      </c>
      <c r="AQ164" s="26">
        <f>IFERROR(ROUNDUP(O164/(1-CONFIGURACION!$B$7),0),0)</f>
        <v>0</v>
      </c>
      <c r="AR164" s="20">
        <f>IFERROR(ROUNDUP(O164/(1-CONFIGURACION!$B$8),0),0)</f>
        <v>0</v>
      </c>
      <c r="AS164" s="43"/>
      <c r="AT164" s="30">
        <f t="shared" si="16"/>
        <v>0</v>
      </c>
      <c r="AU164" s="18"/>
    </row>
    <row r="165" spans="1:47">
      <c r="A165" s="17"/>
      <c r="B165" s="17"/>
      <c r="C165" s="17"/>
      <c r="D165" s="17"/>
      <c r="E165" s="20">
        <f>IFERROR(SUMIF(RECETAS!$B:$B,B165,RECETAS!$H:$H),0)</f>
        <v>0</v>
      </c>
      <c r="F165" s="17"/>
      <c r="G165" s="17"/>
      <c r="H165" s="17"/>
      <c r="I165" s="17"/>
      <c r="J165" s="18">
        <f t="shared" si="12"/>
        <v>0</v>
      </c>
      <c r="K165" s="20">
        <f>IFERROR(CONFIGURACION!$B$5,0)</f>
        <v>4000</v>
      </c>
      <c r="L165" s="20">
        <f t="shared" si="13"/>
        <v>0</v>
      </c>
      <c r="M165" s="42">
        <f>IFERROR(CONFIGURACION!$B$9,0)</f>
        <v>0.15</v>
      </c>
      <c r="N165" s="20">
        <f t="shared" si="14"/>
        <v>0</v>
      </c>
      <c r="AO165" s="26">
        <f t="shared" si="15"/>
        <v>0</v>
      </c>
      <c r="AP165" s="20">
        <f>IFERROR(ROUNDUP(O165/(1-CONFIGURACION!$B$6),0),0)</f>
        <v>0</v>
      </c>
      <c r="AQ165" s="26">
        <f>IFERROR(ROUNDUP(O165/(1-CONFIGURACION!$B$7),0),0)</f>
        <v>0</v>
      </c>
      <c r="AR165" s="20">
        <f>IFERROR(ROUNDUP(O165/(1-CONFIGURACION!$B$8),0),0)</f>
        <v>0</v>
      </c>
      <c r="AS165" s="43"/>
      <c r="AT165" s="30">
        <f t="shared" si="16"/>
        <v>0</v>
      </c>
      <c r="AU165" s="18"/>
    </row>
    <row r="166" spans="1:47">
      <c r="A166" s="17"/>
      <c r="B166" s="17"/>
      <c r="C166" s="17"/>
      <c r="D166" s="17"/>
      <c r="E166" s="20">
        <f>IFERROR(SUMIF(RECETAS!$B:$B,B166,RECETAS!$H:$H),0)</f>
        <v>0</v>
      </c>
      <c r="F166" s="17"/>
      <c r="G166" s="17"/>
      <c r="H166" s="17"/>
      <c r="I166" s="17"/>
      <c r="J166" s="18">
        <f t="shared" si="12"/>
        <v>0</v>
      </c>
      <c r="K166" s="20">
        <f>IFERROR(CONFIGURACION!$B$5,0)</f>
        <v>4000</v>
      </c>
      <c r="L166" s="20">
        <f t="shared" si="13"/>
        <v>0</v>
      </c>
      <c r="M166" s="42">
        <f>IFERROR(CONFIGURACION!$B$9,0)</f>
        <v>0.15</v>
      </c>
      <c r="N166" s="20">
        <f t="shared" si="14"/>
        <v>0</v>
      </c>
      <c r="AO166" s="26">
        <f t="shared" si="15"/>
        <v>0</v>
      </c>
      <c r="AP166" s="20">
        <f>IFERROR(ROUNDUP(O166/(1-CONFIGURACION!$B$6),0),0)</f>
        <v>0</v>
      </c>
      <c r="AQ166" s="26">
        <f>IFERROR(ROUNDUP(O166/(1-CONFIGURACION!$B$7),0),0)</f>
        <v>0</v>
      </c>
      <c r="AR166" s="20">
        <f>IFERROR(ROUNDUP(O166/(1-CONFIGURACION!$B$8),0),0)</f>
        <v>0</v>
      </c>
      <c r="AS166" s="43"/>
      <c r="AT166" s="30">
        <f t="shared" si="16"/>
        <v>0</v>
      </c>
      <c r="AU166" s="18"/>
    </row>
    <row r="167" spans="1:47">
      <c r="A167" s="17"/>
      <c r="B167" s="17"/>
      <c r="C167" s="17"/>
      <c r="D167" s="17"/>
      <c r="E167" s="20">
        <f>IFERROR(SUMIF(RECETAS!$B:$B,B167,RECETAS!$H:$H),0)</f>
        <v>0</v>
      </c>
      <c r="F167" s="17"/>
      <c r="G167" s="17"/>
      <c r="H167" s="17"/>
      <c r="I167" s="17"/>
      <c r="J167" s="18">
        <f t="shared" si="12"/>
        <v>0</v>
      </c>
      <c r="K167" s="20">
        <f>IFERROR(CONFIGURACION!$B$5,0)</f>
        <v>4000</v>
      </c>
      <c r="L167" s="20">
        <f t="shared" si="13"/>
        <v>0</v>
      </c>
      <c r="M167" s="42">
        <f>IFERROR(CONFIGURACION!$B$9,0)</f>
        <v>0.15</v>
      </c>
      <c r="N167" s="20">
        <f t="shared" si="14"/>
        <v>0</v>
      </c>
      <c r="AO167" s="26">
        <f t="shared" si="15"/>
        <v>0</v>
      </c>
      <c r="AP167" s="20">
        <f>IFERROR(ROUNDUP(O167/(1-CONFIGURACION!$B$6),0),0)</f>
        <v>0</v>
      </c>
      <c r="AQ167" s="26">
        <f>IFERROR(ROUNDUP(O167/(1-CONFIGURACION!$B$7),0),0)</f>
        <v>0</v>
      </c>
      <c r="AR167" s="20">
        <f>IFERROR(ROUNDUP(O167/(1-CONFIGURACION!$B$8),0),0)</f>
        <v>0</v>
      </c>
      <c r="AS167" s="43"/>
      <c r="AT167" s="30">
        <f t="shared" si="16"/>
        <v>0</v>
      </c>
      <c r="AU167" s="18"/>
    </row>
    <row r="168" spans="1:47">
      <c r="A168" s="17"/>
      <c r="B168" s="17"/>
      <c r="C168" s="17"/>
      <c r="D168" s="17"/>
      <c r="E168" s="20">
        <f>IFERROR(SUMIF(RECETAS!$B:$B,B168,RECETAS!$H:$H),0)</f>
        <v>0</v>
      </c>
      <c r="F168" s="17"/>
      <c r="G168" s="17"/>
      <c r="H168" s="17"/>
      <c r="I168" s="17"/>
      <c r="J168" s="18">
        <f t="shared" si="12"/>
        <v>0</v>
      </c>
      <c r="K168" s="20">
        <f>IFERROR(CONFIGURACION!$B$5,0)</f>
        <v>4000</v>
      </c>
      <c r="L168" s="20">
        <f t="shared" si="13"/>
        <v>0</v>
      </c>
      <c r="M168" s="42">
        <f>IFERROR(CONFIGURACION!$B$9,0)</f>
        <v>0.15</v>
      </c>
      <c r="N168" s="20">
        <f t="shared" si="14"/>
        <v>0</v>
      </c>
      <c r="AO168" s="26">
        <f t="shared" si="15"/>
        <v>0</v>
      </c>
      <c r="AP168" s="20">
        <f>IFERROR(ROUNDUP(O168/(1-CONFIGURACION!$B$6),0),0)</f>
        <v>0</v>
      </c>
      <c r="AQ168" s="26">
        <f>IFERROR(ROUNDUP(O168/(1-CONFIGURACION!$B$7),0),0)</f>
        <v>0</v>
      </c>
      <c r="AR168" s="20">
        <f>IFERROR(ROUNDUP(O168/(1-CONFIGURACION!$B$8),0),0)</f>
        <v>0</v>
      </c>
      <c r="AS168" s="43"/>
      <c r="AT168" s="30">
        <f t="shared" si="16"/>
        <v>0</v>
      </c>
      <c r="AU168" s="18"/>
    </row>
    <row r="169" spans="1:47">
      <c r="A169" s="17"/>
      <c r="B169" s="17"/>
      <c r="C169" s="17"/>
      <c r="D169" s="17"/>
      <c r="E169" s="20">
        <f>IFERROR(SUMIF(RECETAS!$B:$B,B169,RECETAS!$H:$H),0)</f>
        <v>0</v>
      </c>
      <c r="F169" s="17"/>
      <c r="G169" s="17"/>
      <c r="H169" s="17"/>
      <c r="I169" s="17"/>
      <c r="J169" s="18">
        <f t="shared" si="12"/>
        <v>0</v>
      </c>
      <c r="K169" s="20">
        <f>IFERROR(CONFIGURACION!$B$5,0)</f>
        <v>4000</v>
      </c>
      <c r="L169" s="20">
        <f t="shared" si="13"/>
        <v>0</v>
      </c>
      <c r="M169" s="42">
        <f>IFERROR(CONFIGURACION!$B$9,0)</f>
        <v>0.15</v>
      </c>
      <c r="N169" s="20">
        <f t="shared" si="14"/>
        <v>0</v>
      </c>
      <c r="AO169" s="26">
        <f t="shared" si="15"/>
        <v>0</v>
      </c>
      <c r="AP169" s="20">
        <f>IFERROR(ROUNDUP(O169/(1-CONFIGURACION!$B$6),0),0)</f>
        <v>0</v>
      </c>
      <c r="AQ169" s="26">
        <f>IFERROR(ROUNDUP(O169/(1-CONFIGURACION!$B$7),0),0)</f>
        <v>0</v>
      </c>
      <c r="AR169" s="20">
        <f>IFERROR(ROUNDUP(O169/(1-CONFIGURACION!$B$8),0),0)</f>
        <v>0</v>
      </c>
      <c r="AS169" s="43"/>
      <c r="AT169" s="30">
        <f t="shared" si="16"/>
        <v>0</v>
      </c>
      <c r="AU169" s="18"/>
    </row>
    <row r="170" spans="1:47">
      <c r="A170" s="17"/>
      <c r="B170" s="17"/>
      <c r="C170" s="17"/>
      <c r="D170" s="17"/>
      <c r="E170" s="20">
        <f>IFERROR(SUMIF(RECETAS!$B:$B,B170,RECETAS!$H:$H),0)</f>
        <v>0</v>
      </c>
      <c r="F170" s="17"/>
      <c r="G170" s="17"/>
      <c r="H170" s="17"/>
      <c r="I170" s="17"/>
      <c r="J170" s="18">
        <f t="shared" si="12"/>
        <v>0</v>
      </c>
      <c r="K170" s="20">
        <f>IFERROR(CONFIGURACION!$B$5,0)</f>
        <v>4000</v>
      </c>
      <c r="L170" s="20">
        <f t="shared" si="13"/>
        <v>0</v>
      </c>
      <c r="M170" s="42">
        <f>IFERROR(CONFIGURACION!$B$9,0)</f>
        <v>0.15</v>
      </c>
      <c r="N170" s="20">
        <f t="shared" si="14"/>
        <v>0</v>
      </c>
      <c r="AO170" s="26">
        <f t="shared" si="15"/>
        <v>0</v>
      </c>
      <c r="AP170" s="20">
        <f>IFERROR(ROUNDUP(O170/(1-CONFIGURACION!$B$6),0),0)</f>
        <v>0</v>
      </c>
      <c r="AQ170" s="26">
        <f>IFERROR(ROUNDUP(O170/(1-CONFIGURACION!$B$7),0),0)</f>
        <v>0</v>
      </c>
      <c r="AR170" s="20">
        <f>IFERROR(ROUNDUP(O170/(1-CONFIGURACION!$B$8),0),0)</f>
        <v>0</v>
      </c>
      <c r="AS170" s="43"/>
      <c r="AT170" s="30">
        <f t="shared" si="16"/>
        <v>0</v>
      </c>
      <c r="AU170" s="18"/>
    </row>
    <row r="171" spans="1:47">
      <c r="A171" s="17"/>
      <c r="B171" s="17"/>
      <c r="C171" s="17"/>
      <c r="D171" s="17"/>
      <c r="E171" s="20">
        <f>IFERROR(SUMIF(RECETAS!$B:$B,B171,RECETAS!$H:$H),0)</f>
        <v>0</v>
      </c>
      <c r="F171" s="17"/>
      <c r="G171" s="17"/>
      <c r="H171" s="17"/>
      <c r="I171" s="17"/>
      <c r="J171" s="18">
        <f t="shared" si="12"/>
        <v>0</v>
      </c>
      <c r="K171" s="20">
        <f>IFERROR(CONFIGURACION!$B$5,0)</f>
        <v>4000</v>
      </c>
      <c r="L171" s="20">
        <f t="shared" si="13"/>
        <v>0</v>
      </c>
      <c r="M171" s="42">
        <f>IFERROR(CONFIGURACION!$B$9,0)</f>
        <v>0.15</v>
      </c>
      <c r="N171" s="20">
        <f t="shared" si="14"/>
        <v>0</v>
      </c>
      <c r="AO171" s="26">
        <f t="shared" si="15"/>
        <v>0</v>
      </c>
      <c r="AP171" s="20">
        <f>IFERROR(ROUNDUP(O171/(1-CONFIGURACION!$B$6),0),0)</f>
        <v>0</v>
      </c>
      <c r="AQ171" s="26">
        <f>IFERROR(ROUNDUP(O171/(1-CONFIGURACION!$B$7),0),0)</f>
        <v>0</v>
      </c>
      <c r="AR171" s="20">
        <f>IFERROR(ROUNDUP(O171/(1-CONFIGURACION!$B$8),0),0)</f>
        <v>0</v>
      </c>
      <c r="AS171" s="43"/>
      <c r="AT171" s="30">
        <f t="shared" si="16"/>
        <v>0</v>
      </c>
      <c r="AU171" s="18"/>
    </row>
    <row r="172" spans="1:47">
      <c r="A172" s="17"/>
      <c r="B172" s="17"/>
      <c r="C172" s="17"/>
      <c r="D172" s="17"/>
      <c r="E172" s="20">
        <f>IFERROR(SUMIF(RECETAS!$B:$B,B172,RECETAS!$H:$H),0)</f>
        <v>0</v>
      </c>
      <c r="F172" s="17"/>
      <c r="G172" s="17"/>
      <c r="H172" s="17"/>
      <c r="I172" s="17"/>
      <c r="J172" s="18">
        <f t="shared" si="12"/>
        <v>0</v>
      </c>
      <c r="K172" s="20">
        <f>IFERROR(CONFIGURACION!$B$5,0)</f>
        <v>4000</v>
      </c>
      <c r="L172" s="20">
        <f t="shared" si="13"/>
        <v>0</v>
      </c>
      <c r="M172" s="42">
        <f>IFERROR(CONFIGURACION!$B$9,0)</f>
        <v>0.15</v>
      </c>
      <c r="N172" s="20">
        <f t="shared" si="14"/>
        <v>0</v>
      </c>
      <c r="AO172" s="26">
        <f t="shared" si="15"/>
        <v>0</v>
      </c>
      <c r="AP172" s="20">
        <f>IFERROR(ROUNDUP(O172/(1-CONFIGURACION!$B$6),0),0)</f>
        <v>0</v>
      </c>
      <c r="AQ172" s="26">
        <f>IFERROR(ROUNDUP(O172/(1-CONFIGURACION!$B$7),0),0)</f>
        <v>0</v>
      </c>
      <c r="AR172" s="20">
        <f>IFERROR(ROUNDUP(O172/(1-CONFIGURACION!$B$8),0),0)</f>
        <v>0</v>
      </c>
      <c r="AS172" s="43"/>
      <c r="AT172" s="30">
        <f t="shared" si="16"/>
        <v>0</v>
      </c>
      <c r="AU172" s="18"/>
    </row>
    <row r="173" spans="1:47">
      <c r="A173" s="17"/>
      <c r="B173" s="17"/>
      <c r="C173" s="17"/>
      <c r="D173" s="17"/>
      <c r="E173" s="20">
        <f>IFERROR(SUMIF(RECETAS!$B:$B,B173,RECETAS!$H:$H),0)</f>
        <v>0</v>
      </c>
      <c r="F173" s="17"/>
      <c r="G173" s="17"/>
      <c r="H173" s="17"/>
      <c r="I173" s="17"/>
      <c r="J173" s="18">
        <f t="shared" si="12"/>
        <v>0</v>
      </c>
      <c r="K173" s="20">
        <f>IFERROR(CONFIGURACION!$B$5,0)</f>
        <v>4000</v>
      </c>
      <c r="L173" s="20">
        <f t="shared" si="13"/>
        <v>0</v>
      </c>
      <c r="M173" s="42">
        <f>IFERROR(CONFIGURACION!$B$9,0)</f>
        <v>0.15</v>
      </c>
      <c r="N173" s="20">
        <f t="shared" si="14"/>
        <v>0</v>
      </c>
      <c r="AO173" s="26">
        <f t="shared" si="15"/>
        <v>0</v>
      </c>
      <c r="AP173" s="20">
        <f>IFERROR(ROUNDUP(O173/(1-CONFIGURACION!$B$6),0),0)</f>
        <v>0</v>
      </c>
      <c r="AQ173" s="26">
        <f>IFERROR(ROUNDUP(O173/(1-CONFIGURACION!$B$7),0),0)</f>
        <v>0</v>
      </c>
      <c r="AR173" s="20">
        <f>IFERROR(ROUNDUP(O173/(1-CONFIGURACION!$B$8),0),0)</f>
        <v>0</v>
      </c>
      <c r="AS173" s="43"/>
      <c r="AT173" s="30">
        <f t="shared" si="16"/>
        <v>0</v>
      </c>
      <c r="AU173" s="18"/>
    </row>
    <row r="174" spans="1:47">
      <c r="A174" s="17"/>
      <c r="B174" s="17"/>
      <c r="C174" s="17"/>
      <c r="D174" s="17"/>
      <c r="E174" s="20">
        <f>IFERROR(SUMIF(RECETAS!$B:$B,B174,RECETAS!$H:$H),0)</f>
        <v>0</v>
      </c>
      <c r="F174" s="17"/>
      <c r="G174" s="17"/>
      <c r="H174" s="17"/>
      <c r="I174" s="17"/>
      <c r="J174" s="18">
        <f t="shared" si="12"/>
        <v>0</v>
      </c>
      <c r="K174" s="20">
        <f>IFERROR(CONFIGURACION!$B$5,0)</f>
        <v>4000</v>
      </c>
      <c r="L174" s="20">
        <f t="shared" si="13"/>
        <v>0</v>
      </c>
      <c r="M174" s="42">
        <f>IFERROR(CONFIGURACION!$B$9,0)</f>
        <v>0.15</v>
      </c>
      <c r="N174" s="20">
        <f t="shared" si="14"/>
        <v>0</v>
      </c>
      <c r="AO174" s="26">
        <f t="shared" si="15"/>
        <v>0</v>
      </c>
      <c r="AP174" s="20">
        <f>IFERROR(ROUNDUP(O174/(1-CONFIGURACION!$B$6),0),0)</f>
        <v>0</v>
      </c>
      <c r="AQ174" s="26">
        <f>IFERROR(ROUNDUP(O174/(1-CONFIGURACION!$B$7),0),0)</f>
        <v>0</v>
      </c>
      <c r="AR174" s="20">
        <f>IFERROR(ROUNDUP(O174/(1-CONFIGURACION!$B$8),0),0)</f>
        <v>0</v>
      </c>
      <c r="AS174" s="43"/>
      <c r="AT174" s="30">
        <f t="shared" si="16"/>
        <v>0</v>
      </c>
      <c r="AU174" s="18"/>
    </row>
    <row r="175" spans="1:47">
      <c r="A175" s="17"/>
      <c r="B175" s="17"/>
      <c r="C175" s="17"/>
      <c r="D175" s="17"/>
      <c r="E175" s="20">
        <f>IFERROR(SUMIF(RECETAS!$B:$B,B175,RECETAS!$H:$H),0)</f>
        <v>0</v>
      </c>
      <c r="F175" s="17"/>
      <c r="G175" s="17"/>
      <c r="H175" s="17"/>
      <c r="I175" s="17"/>
      <c r="J175" s="18">
        <f t="shared" si="12"/>
        <v>0</v>
      </c>
      <c r="K175" s="20">
        <f>IFERROR(CONFIGURACION!$B$5,0)</f>
        <v>4000</v>
      </c>
      <c r="L175" s="20">
        <f t="shared" si="13"/>
        <v>0</v>
      </c>
      <c r="M175" s="42">
        <f>IFERROR(CONFIGURACION!$B$9,0)</f>
        <v>0.15</v>
      </c>
      <c r="N175" s="20">
        <f t="shared" si="14"/>
        <v>0</v>
      </c>
      <c r="AO175" s="26">
        <f t="shared" si="15"/>
        <v>0</v>
      </c>
      <c r="AP175" s="20">
        <f>IFERROR(ROUNDUP(O175/(1-CONFIGURACION!$B$6),0),0)</f>
        <v>0</v>
      </c>
      <c r="AQ175" s="26">
        <f>IFERROR(ROUNDUP(O175/(1-CONFIGURACION!$B$7),0),0)</f>
        <v>0</v>
      </c>
      <c r="AR175" s="20">
        <f>IFERROR(ROUNDUP(O175/(1-CONFIGURACION!$B$8),0),0)</f>
        <v>0</v>
      </c>
      <c r="AS175" s="43"/>
      <c r="AT175" s="30">
        <f t="shared" si="16"/>
        <v>0</v>
      </c>
      <c r="AU175" s="18"/>
    </row>
    <row r="176" spans="1:47">
      <c r="A176" s="17"/>
      <c r="B176" s="17"/>
      <c r="C176" s="17"/>
      <c r="D176" s="17"/>
      <c r="E176" s="20">
        <f>IFERROR(SUMIF(RECETAS!$B:$B,B176,RECETAS!$H:$H),0)</f>
        <v>0</v>
      </c>
      <c r="F176" s="17"/>
      <c r="G176" s="17"/>
      <c r="H176" s="17"/>
      <c r="I176" s="17"/>
      <c r="J176" s="18">
        <f t="shared" si="12"/>
        <v>0</v>
      </c>
      <c r="K176" s="20">
        <f>IFERROR(CONFIGURACION!$B$5,0)</f>
        <v>4000</v>
      </c>
      <c r="L176" s="20">
        <f t="shared" si="13"/>
        <v>0</v>
      </c>
      <c r="M176" s="42">
        <f>IFERROR(CONFIGURACION!$B$9,0)</f>
        <v>0.15</v>
      </c>
      <c r="N176" s="20">
        <f t="shared" si="14"/>
        <v>0</v>
      </c>
      <c r="AO176" s="26">
        <f t="shared" si="15"/>
        <v>0</v>
      </c>
      <c r="AP176" s="20">
        <f>IFERROR(ROUNDUP(O176/(1-CONFIGURACION!$B$6),0),0)</f>
        <v>0</v>
      </c>
      <c r="AQ176" s="26">
        <f>IFERROR(ROUNDUP(O176/(1-CONFIGURACION!$B$7),0),0)</f>
        <v>0</v>
      </c>
      <c r="AR176" s="20">
        <f>IFERROR(ROUNDUP(O176/(1-CONFIGURACION!$B$8),0),0)</f>
        <v>0</v>
      </c>
      <c r="AS176" s="43"/>
      <c r="AT176" s="30">
        <f t="shared" si="16"/>
        <v>0</v>
      </c>
      <c r="AU176" s="18"/>
    </row>
    <row r="177" spans="1:47">
      <c r="A177" s="17"/>
      <c r="B177" s="17"/>
      <c r="C177" s="17"/>
      <c r="D177" s="17"/>
      <c r="E177" s="20">
        <f>IFERROR(SUMIF(RECETAS!$B:$B,B177,RECETAS!$H:$H),0)</f>
        <v>0</v>
      </c>
      <c r="F177" s="17"/>
      <c r="G177" s="17"/>
      <c r="H177" s="17"/>
      <c r="I177" s="17"/>
      <c r="J177" s="18">
        <f t="shared" si="12"/>
        <v>0</v>
      </c>
      <c r="K177" s="20">
        <f>IFERROR(CONFIGURACION!$B$5,0)</f>
        <v>4000</v>
      </c>
      <c r="L177" s="20">
        <f t="shared" si="13"/>
        <v>0</v>
      </c>
      <c r="M177" s="42">
        <f>IFERROR(CONFIGURACION!$B$9,0)</f>
        <v>0.15</v>
      </c>
      <c r="N177" s="20">
        <f t="shared" si="14"/>
        <v>0</v>
      </c>
      <c r="AO177" s="26">
        <f t="shared" si="15"/>
        <v>0</v>
      </c>
      <c r="AP177" s="20">
        <f>IFERROR(ROUNDUP(O177/(1-CONFIGURACION!$B$6),0),0)</f>
        <v>0</v>
      </c>
      <c r="AQ177" s="26">
        <f>IFERROR(ROUNDUP(O177/(1-CONFIGURACION!$B$7),0),0)</f>
        <v>0</v>
      </c>
      <c r="AR177" s="20">
        <f>IFERROR(ROUNDUP(O177/(1-CONFIGURACION!$B$8),0),0)</f>
        <v>0</v>
      </c>
      <c r="AS177" s="43"/>
      <c r="AT177" s="30">
        <f t="shared" si="16"/>
        <v>0</v>
      </c>
      <c r="AU177" s="18"/>
    </row>
    <row r="178" spans="1:47">
      <c r="A178" s="17"/>
      <c r="B178" s="17"/>
      <c r="C178" s="17"/>
      <c r="D178" s="17"/>
      <c r="E178" s="20">
        <f>IFERROR(SUMIF(RECETAS!$B:$B,B178,RECETAS!$H:$H),0)</f>
        <v>0</v>
      </c>
      <c r="F178" s="17"/>
      <c r="G178" s="17"/>
      <c r="H178" s="17"/>
      <c r="I178" s="17"/>
      <c r="J178" s="18">
        <f t="shared" si="12"/>
        <v>0</v>
      </c>
      <c r="K178" s="20">
        <f>IFERROR(CONFIGURACION!$B$5,0)</f>
        <v>4000</v>
      </c>
      <c r="L178" s="20">
        <f t="shared" si="13"/>
        <v>0</v>
      </c>
      <c r="M178" s="42">
        <f>IFERROR(CONFIGURACION!$B$9,0)</f>
        <v>0.15</v>
      </c>
      <c r="N178" s="20">
        <f t="shared" si="14"/>
        <v>0</v>
      </c>
      <c r="AO178" s="26">
        <f t="shared" si="15"/>
        <v>0</v>
      </c>
      <c r="AP178" s="20">
        <f>IFERROR(ROUNDUP(O178/(1-CONFIGURACION!$B$6),0),0)</f>
        <v>0</v>
      </c>
      <c r="AQ178" s="26">
        <f>IFERROR(ROUNDUP(O178/(1-CONFIGURACION!$B$7),0),0)</f>
        <v>0</v>
      </c>
      <c r="AR178" s="20">
        <f>IFERROR(ROUNDUP(O178/(1-CONFIGURACION!$B$8),0),0)</f>
        <v>0</v>
      </c>
      <c r="AS178" s="43"/>
      <c r="AT178" s="30">
        <f t="shared" si="16"/>
        <v>0</v>
      </c>
      <c r="AU178" s="18"/>
    </row>
    <row r="179" spans="1:47">
      <c r="A179" s="17"/>
      <c r="B179" s="17"/>
      <c r="C179" s="17"/>
      <c r="D179" s="17"/>
      <c r="E179" s="20">
        <f>IFERROR(SUMIF(RECETAS!$B:$B,B179,RECETAS!$H:$H),0)</f>
        <v>0</v>
      </c>
      <c r="F179" s="17"/>
      <c r="G179" s="17"/>
      <c r="H179" s="17"/>
      <c r="I179" s="17"/>
      <c r="J179" s="18">
        <f t="shared" si="12"/>
        <v>0</v>
      </c>
      <c r="K179" s="20">
        <f>IFERROR(CONFIGURACION!$B$5,0)</f>
        <v>4000</v>
      </c>
      <c r="L179" s="20">
        <f t="shared" si="13"/>
        <v>0</v>
      </c>
      <c r="M179" s="42">
        <f>IFERROR(CONFIGURACION!$B$9,0)</f>
        <v>0.15</v>
      </c>
      <c r="N179" s="20">
        <f t="shared" si="14"/>
        <v>0</v>
      </c>
      <c r="AO179" s="26">
        <f t="shared" si="15"/>
        <v>0</v>
      </c>
      <c r="AP179" s="20">
        <f>IFERROR(ROUNDUP(O179/(1-CONFIGURACION!$B$6),0),0)</f>
        <v>0</v>
      </c>
      <c r="AQ179" s="26">
        <f>IFERROR(ROUNDUP(O179/(1-CONFIGURACION!$B$7),0),0)</f>
        <v>0</v>
      </c>
      <c r="AR179" s="20">
        <f>IFERROR(ROUNDUP(O179/(1-CONFIGURACION!$B$8),0),0)</f>
        <v>0</v>
      </c>
      <c r="AS179" s="43"/>
      <c r="AT179" s="30">
        <f t="shared" si="16"/>
        <v>0</v>
      </c>
      <c r="AU179" s="18"/>
    </row>
    <row r="180" spans="1:47">
      <c r="A180" s="17"/>
      <c r="B180" s="17"/>
      <c r="C180" s="17"/>
      <c r="D180" s="17"/>
      <c r="E180" s="20">
        <f>IFERROR(SUMIF(RECETAS!$B:$B,B180,RECETAS!$H:$H),0)</f>
        <v>0</v>
      </c>
      <c r="F180" s="17"/>
      <c r="G180" s="17"/>
      <c r="H180" s="17"/>
      <c r="I180" s="17"/>
      <c r="J180" s="18">
        <f t="shared" si="12"/>
        <v>0</v>
      </c>
      <c r="K180" s="20">
        <f>IFERROR(CONFIGURACION!$B$5,0)</f>
        <v>4000</v>
      </c>
      <c r="L180" s="20">
        <f t="shared" si="13"/>
        <v>0</v>
      </c>
      <c r="M180" s="42">
        <f>IFERROR(CONFIGURACION!$B$9,0)</f>
        <v>0.15</v>
      </c>
      <c r="N180" s="20">
        <f t="shared" si="14"/>
        <v>0</v>
      </c>
      <c r="AO180" s="26">
        <f t="shared" si="15"/>
        <v>0</v>
      </c>
      <c r="AP180" s="20">
        <f>IFERROR(ROUNDUP(O180/(1-CONFIGURACION!$B$6),0),0)</f>
        <v>0</v>
      </c>
      <c r="AQ180" s="26">
        <f>IFERROR(ROUNDUP(O180/(1-CONFIGURACION!$B$7),0),0)</f>
        <v>0</v>
      </c>
      <c r="AR180" s="20">
        <f>IFERROR(ROUNDUP(O180/(1-CONFIGURACION!$B$8),0),0)</f>
        <v>0</v>
      </c>
      <c r="AS180" s="43"/>
      <c r="AT180" s="30">
        <f t="shared" si="16"/>
        <v>0</v>
      </c>
      <c r="AU180" s="18"/>
    </row>
    <row r="181" spans="1:47">
      <c r="A181" s="17"/>
      <c r="B181" s="17"/>
      <c r="C181" s="17"/>
      <c r="D181" s="17"/>
      <c r="E181" s="20">
        <f>IFERROR(SUMIF(RECETAS!$B:$B,B181,RECETAS!$H:$H),0)</f>
        <v>0</v>
      </c>
      <c r="F181" s="17"/>
      <c r="G181" s="17"/>
      <c r="H181" s="17"/>
      <c r="I181" s="17"/>
      <c r="J181" s="18">
        <f t="shared" si="12"/>
        <v>0</v>
      </c>
      <c r="K181" s="20">
        <f>IFERROR(CONFIGURACION!$B$5,0)</f>
        <v>4000</v>
      </c>
      <c r="L181" s="20">
        <f t="shared" si="13"/>
        <v>0</v>
      </c>
      <c r="M181" s="42">
        <f>IFERROR(CONFIGURACION!$B$9,0)</f>
        <v>0.15</v>
      </c>
      <c r="N181" s="20">
        <f t="shared" si="14"/>
        <v>0</v>
      </c>
      <c r="AO181" s="26">
        <f t="shared" si="15"/>
        <v>0</v>
      </c>
      <c r="AP181" s="20">
        <f>IFERROR(ROUNDUP(O181/(1-CONFIGURACION!$B$6),0),0)</f>
        <v>0</v>
      </c>
      <c r="AQ181" s="26">
        <f>IFERROR(ROUNDUP(O181/(1-CONFIGURACION!$B$7),0),0)</f>
        <v>0</v>
      </c>
      <c r="AR181" s="20">
        <f>IFERROR(ROUNDUP(O181/(1-CONFIGURACION!$B$8),0),0)</f>
        <v>0</v>
      </c>
      <c r="AS181" s="43"/>
      <c r="AT181" s="30">
        <f t="shared" si="16"/>
        <v>0</v>
      </c>
      <c r="AU181" s="18"/>
    </row>
    <row r="182" spans="1:47">
      <c r="A182" s="17"/>
      <c r="B182" s="17"/>
      <c r="C182" s="17"/>
      <c r="D182" s="17"/>
      <c r="E182" s="20">
        <f>IFERROR(SUMIF(RECETAS!$B:$B,B182,RECETAS!$H:$H),0)</f>
        <v>0</v>
      </c>
      <c r="F182" s="17"/>
      <c r="G182" s="17"/>
      <c r="H182" s="17"/>
      <c r="I182" s="17"/>
      <c r="J182" s="18">
        <f t="shared" si="12"/>
        <v>0</v>
      </c>
      <c r="K182" s="20">
        <f>IFERROR(CONFIGURACION!$B$5,0)</f>
        <v>4000</v>
      </c>
      <c r="L182" s="20">
        <f t="shared" si="13"/>
        <v>0</v>
      </c>
      <c r="M182" s="42">
        <f>IFERROR(CONFIGURACION!$B$9,0)</f>
        <v>0.15</v>
      </c>
      <c r="N182" s="20">
        <f t="shared" si="14"/>
        <v>0</v>
      </c>
      <c r="AO182" s="26">
        <f t="shared" si="15"/>
        <v>0</v>
      </c>
      <c r="AP182" s="20">
        <f>IFERROR(ROUNDUP(O182/(1-CONFIGURACION!$B$6),0),0)</f>
        <v>0</v>
      </c>
      <c r="AQ182" s="26">
        <f>IFERROR(ROUNDUP(O182/(1-CONFIGURACION!$B$7),0),0)</f>
        <v>0</v>
      </c>
      <c r="AR182" s="20">
        <f>IFERROR(ROUNDUP(O182/(1-CONFIGURACION!$B$8),0),0)</f>
        <v>0</v>
      </c>
      <c r="AS182" s="43"/>
      <c r="AT182" s="30">
        <f t="shared" si="16"/>
        <v>0</v>
      </c>
      <c r="AU182" s="18"/>
    </row>
    <row r="183" spans="1:47">
      <c r="A183" s="17"/>
      <c r="B183" s="17"/>
      <c r="C183" s="17"/>
      <c r="D183" s="17"/>
      <c r="E183" s="20">
        <f>IFERROR(SUMIF(RECETAS!$B:$B,B183,RECETAS!$H:$H),0)</f>
        <v>0</v>
      </c>
      <c r="F183" s="17"/>
      <c r="G183" s="17"/>
      <c r="H183" s="17"/>
      <c r="I183" s="17"/>
      <c r="J183" s="18">
        <f t="shared" si="12"/>
        <v>0</v>
      </c>
      <c r="K183" s="20">
        <f>IFERROR(CONFIGURACION!$B$5,0)</f>
        <v>4000</v>
      </c>
      <c r="L183" s="20">
        <f t="shared" si="13"/>
        <v>0</v>
      </c>
      <c r="M183" s="42">
        <f>IFERROR(CONFIGURACION!$B$9,0)</f>
        <v>0.15</v>
      </c>
      <c r="N183" s="20">
        <f t="shared" si="14"/>
        <v>0</v>
      </c>
      <c r="AO183" s="26">
        <f t="shared" si="15"/>
        <v>0</v>
      </c>
      <c r="AP183" s="20">
        <f>IFERROR(ROUNDUP(O183/(1-CONFIGURACION!$B$6),0),0)</f>
        <v>0</v>
      </c>
      <c r="AQ183" s="26">
        <f>IFERROR(ROUNDUP(O183/(1-CONFIGURACION!$B$7),0),0)</f>
        <v>0</v>
      </c>
      <c r="AR183" s="20">
        <f>IFERROR(ROUNDUP(O183/(1-CONFIGURACION!$B$8),0),0)</f>
        <v>0</v>
      </c>
      <c r="AS183" s="43"/>
      <c r="AT183" s="30">
        <f t="shared" si="16"/>
        <v>0</v>
      </c>
      <c r="AU183" s="18"/>
    </row>
    <row r="184" spans="1:47">
      <c r="A184" s="17"/>
      <c r="B184" s="17"/>
      <c r="C184" s="17"/>
      <c r="D184" s="17"/>
      <c r="E184" s="20">
        <f>IFERROR(SUMIF(RECETAS!$B:$B,B184,RECETAS!$H:$H),0)</f>
        <v>0</v>
      </c>
      <c r="F184" s="17"/>
      <c r="G184" s="17"/>
      <c r="H184" s="17"/>
      <c r="I184" s="17"/>
      <c r="J184" s="18">
        <f t="shared" si="12"/>
        <v>0</v>
      </c>
      <c r="K184" s="20">
        <f>IFERROR(CONFIGURACION!$B$5,0)</f>
        <v>4000</v>
      </c>
      <c r="L184" s="20">
        <f t="shared" si="13"/>
        <v>0</v>
      </c>
      <c r="M184" s="42">
        <f>IFERROR(CONFIGURACION!$B$9,0)</f>
        <v>0.15</v>
      </c>
      <c r="N184" s="20">
        <f t="shared" si="14"/>
        <v>0</v>
      </c>
      <c r="AO184" s="26">
        <f t="shared" si="15"/>
        <v>0</v>
      </c>
      <c r="AP184" s="20">
        <f>IFERROR(ROUNDUP(O184/(1-CONFIGURACION!$B$6),0),0)</f>
        <v>0</v>
      </c>
      <c r="AQ184" s="26">
        <f>IFERROR(ROUNDUP(O184/(1-CONFIGURACION!$B$7),0),0)</f>
        <v>0</v>
      </c>
      <c r="AR184" s="20">
        <f>IFERROR(ROUNDUP(O184/(1-CONFIGURACION!$B$8),0),0)</f>
        <v>0</v>
      </c>
      <c r="AS184" s="43"/>
      <c r="AT184" s="30">
        <f t="shared" si="16"/>
        <v>0</v>
      </c>
      <c r="AU184" s="18"/>
    </row>
    <row r="185" spans="1:47">
      <c r="A185" s="17"/>
      <c r="B185" s="17"/>
      <c r="C185" s="17"/>
      <c r="D185" s="17"/>
      <c r="E185" s="20">
        <f>IFERROR(SUMIF(RECETAS!$B:$B,B185,RECETAS!$H:$H),0)</f>
        <v>0</v>
      </c>
      <c r="F185" s="17"/>
      <c r="G185" s="17"/>
      <c r="H185" s="17"/>
      <c r="I185" s="17"/>
      <c r="J185" s="18">
        <f t="shared" si="12"/>
        <v>0</v>
      </c>
      <c r="K185" s="20">
        <f>IFERROR(CONFIGURACION!$B$5,0)</f>
        <v>4000</v>
      </c>
      <c r="L185" s="20">
        <f t="shared" si="13"/>
        <v>0</v>
      </c>
      <c r="M185" s="42">
        <f>IFERROR(CONFIGURACION!$B$9,0)</f>
        <v>0.15</v>
      </c>
      <c r="N185" s="20">
        <f t="shared" si="14"/>
        <v>0</v>
      </c>
      <c r="AO185" s="26">
        <f t="shared" si="15"/>
        <v>0</v>
      </c>
      <c r="AP185" s="20">
        <f>IFERROR(ROUNDUP(O185/(1-CONFIGURACION!$B$6),0),0)</f>
        <v>0</v>
      </c>
      <c r="AQ185" s="26">
        <f>IFERROR(ROUNDUP(O185/(1-CONFIGURACION!$B$7),0),0)</f>
        <v>0</v>
      </c>
      <c r="AR185" s="20">
        <f>IFERROR(ROUNDUP(O185/(1-CONFIGURACION!$B$8),0),0)</f>
        <v>0</v>
      </c>
      <c r="AS185" s="43"/>
      <c r="AT185" s="30">
        <f t="shared" si="16"/>
        <v>0</v>
      </c>
      <c r="AU185" s="18"/>
    </row>
    <row r="186" spans="1:47">
      <c r="A186" s="17"/>
      <c r="B186" s="17"/>
      <c r="C186" s="17"/>
      <c r="D186" s="17"/>
      <c r="E186" s="20">
        <f>IFERROR(SUMIF(RECETAS!$B:$B,B186,RECETAS!$H:$H),0)</f>
        <v>0</v>
      </c>
      <c r="F186" s="17"/>
      <c r="G186" s="17"/>
      <c r="H186" s="17"/>
      <c r="I186" s="17"/>
      <c r="J186" s="18">
        <f t="shared" si="12"/>
        <v>0</v>
      </c>
      <c r="K186" s="20">
        <f>IFERROR(CONFIGURACION!$B$5,0)</f>
        <v>4000</v>
      </c>
      <c r="L186" s="20">
        <f t="shared" si="13"/>
        <v>0</v>
      </c>
      <c r="M186" s="42">
        <f>IFERROR(CONFIGURACION!$B$9,0)</f>
        <v>0.15</v>
      </c>
      <c r="N186" s="20">
        <f t="shared" si="14"/>
        <v>0</v>
      </c>
      <c r="AO186" s="26">
        <f t="shared" si="15"/>
        <v>0</v>
      </c>
      <c r="AP186" s="20">
        <f>IFERROR(ROUNDUP(O186/(1-CONFIGURACION!$B$6),0),0)</f>
        <v>0</v>
      </c>
      <c r="AQ186" s="26">
        <f>IFERROR(ROUNDUP(O186/(1-CONFIGURACION!$B$7),0),0)</f>
        <v>0</v>
      </c>
      <c r="AR186" s="20">
        <f>IFERROR(ROUNDUP(O186/(1-CONFIGURACION!$B$8),0),0)</f>
        <v>0</v>
      </c>
      <c r="AS186" s="43"/>
      <c r="AT186" s="30">
        <f t="shared" si="16"/>
        <v>0</v>
      </c>
      <c r="AU186" s="18"/>
    </row>
    <row r="187" spans="1:47">
      <c r="A187" s="17"/>
      <c r="B187" s="17"/>
      <c r="C187" s="17"/>
      <c r="D187" s="17"/>
      <c r="E187" s="20">
        <f>IFERROR(SUMIF(RECETAS!$B:$B,B187,RECETAS!$H:$H),0)</f>
        <v>0</v>
      </c>
      <c r="F187" s="17"/>
      <c r="G187" s="17"/>
      <c r="H187" s="17"/>
      <c r="I187" s="17"/>
      <c r="J187" s="18">
        <f t="shared" si="12"/>
        <v>0</v>
      </c>
      <c r="K187" s="20">
        <f>IFERROR(CONFIGURACION!$B$5,0)</f>
        <v>4000</v>
      </c>
      <c r="L187" s="20">
        <f t="shared" si="13"/>
        <v>0</v>
      </c>
      <c r="M187" s="42">
        <f>IFERROR(CONFIGURACION!$B$9,0)</f>
        <v>0.15</v>
      </c>
      <c r="N187" s="20">
        <f t="shared" si="14"/>
        <v>0</v>
      </c>
      <c r="AO187" s="26">
        <f t="shared" si="15"/>
        <v>0</v>
      </c>
      <c r="AP187" s="20">
        <f>IFERROR(ROUNDUP(O187/(1-CONFIGURACION!$B$6),0),0)</f>
        <v>0</v>
      </c>
      <c r="AQ187" s="26">
        <f>IFERROR(ROUNDUP(O187/(1-CONFIGURACION!$B$7),0),0)</f>
        <v>0</v>
      </c>
      <c r="AR187" s="20">
        <f>IFERROR(ROUNDUP(O187/(1-CONFIGURACION!$B$8),0),0)</f>
        <v>0</v>
      </c>
      <c r="AS187" s="43"/>
      <c r="AT187" s="30">
        <f t="shared" si="16"/>
        <v>0</v>
      </c>
      <c r="AU187" s="18"/>
    </row>
    <row r="188" spans="1:47">
      <c r="A188" s="17"/>
      <c r="B188" s="17"/>
      <c r="C188" s="17"/>
      <c r="D188" s="17"/>
      <c r="E188" s="20">
        <f>IFERROR(SUMIF(RECETAS!$B:$B,B188,RECETAS!$H:$H),0)</f>
        <v>0</v>
      </c>
      <c r="F188" s="17"/>
      <c r="G188" s="17"/>
      <c r="H188" s="17"/>
      <c r="I188" s="17"/>
      <c r="J188" s="18">
        <f t="shared" si="12"/>
        <v>0</v>
      </c>
      <c r="K188" s="20">
        <f>IFERROR(CONFIGURACION!$B$5,0)</f>
        <v>4000</v>
      </c>
      <c r="L188" s="20">
        <f t="shared" si="13"/>
        <v>0</v>
      </c>
      <c r="M188" s="42">
        <f>IFERROR(CONFIGURACION!$B$9,0)</f>
        <v>0.15</v>
      </c>
      <c r="N188" s="20">
        <f t="shared" si="14"/>
        <v>0</v>
      </c>
      <c r="AO188" s="26">
        <f t="shared" si="15"/>
        <v>0</v>
      </c>
      <c r="AP188" s="20">
        <f>IFERROR(ROUNDUP(O188/(1-CONFIGURACION!$B$6),0),0)</f>
        <v>0</v>
      </c>
      <c r="AQ188" s="26">
        <f>IFERROR(ROUNDUP(O188/(1-CONFIGURACION!$B$7),0),0)</f>
        <v>0</v>
      </c>
      <c r="AR188" s="20">
        <f>IFERROR(ROUNDUP(O188/(1-CONFIGURACION!$B$8),0),0)</f>
        <v>0</v>
      </c>
      <c r="AS188" s="43"/>
      <c r="AT188" s="30">
        <f t="shared" si="16"/>
        <v>0</v>
      </c>
      <c r="AU188" s="18"/>
    </row>
    <row r="189" spans="1:47">
      <c r="A189" s="17"/>
      <c r="B189" s="17"/>
      <c r="C189" s="17"/>
      <c r="D189" s="17"/>
      <c r="E189" s="20">
        <f>IFERROR(SUMIF(RECETAS!$B:$B,B189,RECETAS!$H:$H),0)</f>
        <v>0</v>
      </c>
      <c r="F189" s="17"/>
      <c r="G189" s="17"/>
      <c r="H189" s="17"/>
      <c r="I189" s="17"/>
      <c r="J189" s="18">
        <f t="shared" si="12"/>
        <v>0</v>
      </c>
      <c r="K189" s="20">
        <f>IFERROR(CONFIGURACION!$B$5,0)</f>
        <v>4000</v>
      </c>
      <c r="L189" s="20">
        <f t="shared" si="13"/>
        <v>0</v>
      </c>
      <c r="M189" s="42">
        <f>IFERROR(CONFIGURACION!$B$9,0)</f>
        <v>0.15</v>
      </c>
      <c r="N189" s="20">
        <f t="shared" si="14"/>
        <v>0</v>
      </c>
      <c r="AO189" s="26">
        <f t="shared" si="15"/>
        <v>0</v>
      </c>
      <c r="AP189" s="20">
        <f>IFERROR(ROUNDUP(O189/(1-CONFIGURACION!$B$6),0),0)</f>
        <v>0</v>
      </c>
      <c r="AQ189" s="26">
        <f>IFERROR(ROUNDUP(O189/(1-CONFIGURACION!$B$7),0),0)</f>
        <v>0</v>
      </c>
      <c r="AR189" s="20">
        <f>IFERROR(ROUNDUP(O189/(1-CONFIGURACION!$B$8),0),0)</f>
        <v>0</v>
      </c>
      <c r="AS189" s="43"/>
      <c r="AT189" s="30">
        <f t="shared" si="16"/>
        <v>0</v>
      </c>
      <c r="AU189" s="18"/>
    </row>
    <row r="190" spans="1:47">
      <c r="A190" s="17"/>
      <c r="B190" s="17"/>
      <c r="C190" s="17"/>
      <c r="D190" s="17"/>
      <c r="E190" s="20">
        <f>IFERROR(SUMIF(RECETAS!$B:$B,B190,RECETAS!$H:$H),0)</f>
        <v>0</v>
      </c>
      <c r="F190" s="17"/>
      <c r="G190" s="17"/>
      <c r="H190" s="17"/>
      <c r="I190" s="17"/>
      <c r="J190" s="18">
        <f t="shared" si="12"/>
        <v>0</v>
      </c>
      <c r="K190" s="20">
        <f>IFERROR(CONFIGURACION!$B$5,0)</f>
        <v>4000</v>
      </c>
      <c r="L190" s="20">
        <f t="shared" si="13"/>
        <v>0</v>
      </c>
      <c r="M190" s="42">
        <f>IFERROR(CONFIGURACION!$B$9,0)</f>
        <v>0.15</v>
      </c>
      <c r="N190" s="20">
        <f t="shared" si="14"/>
        <v>0</v>
      </c>
      <c r="AO190" s="26">
        <f t="shared" si="15"/>
        <v>0</v>
      </c>
      <c r="AP190" s="20">
        <f>IFERROR(ROUNDUP(O190/(1-CONFIGURACION!$B$6),0),0)</f>
        <v>0</v>
      </c>
      <c r="AQ190" s="26">
        <f>IFERROR(ROUNDUP(O190/(1-CONFIGURACION!$B$7),0),0)</f>
        <v>0</v>
      </c>
      <c r="AR190" s="20">
        <f>IFERROR(ROUNDUP(O190/(1-CONFIGURACION!$B$8),0),0)</f>
        <v>0</v>
      </c>
      <c r="AS190" s="43"/>
      <c r="AT190" s="30">
        <f t="shared" si="16"/>
        <v>0</v>
      </c>
      <c r="AU190" s="18"/>
    </row>
    <row r="191" spans="1:47">
      <c r="A191" s="17"/>
      <c r="B191" s="17"/>
      <c r="C191" s="17"/>
      <c r="D191" s="17"/>
      <c r="E191" s="20">
        <f>IFERROR(SUMIF(RECETAS!$B:$B,B191,RECETAS!$H:$H),0)</f>
        <v>0</v>
      </c>
      <c r="F191" s="17"/>
      <c r="G191" s="17"/>
      <c r="H191" s="17"/>
      <c r="I191" s="17"/>
      <c r="J191" s="18">
        <f t="shared" si="12"/>
        <v>0</v>
      </c>
      <c r="K191" s="20">
        <f>IFERROR(CONFIGURACION!$B$5,0)</f>
        <v>4000</v>
      </c>
      <c r="L191" s="20">
        <f t="shared" si="13"/>
        <v>0</v>
      </c>
      <c r="M191" s="42">
        <f>IFERROR(CONFIGURACION!$B$9,0)</f>
        <v>0.15</v>
      </c>
      <c r="N191" s="20">
        <f t="shared" si="14"/>
        <v>0</v>
      </c>
      <c r="AO191" s="26">
        <f t="shared" si="15"/>
        <v>0</v>
      </c>
      <c r="AP191" s="20">
        <f>IFERROR(ROUNDUP(O191/(1-CONFIGURACION!$B$6),0),0)</f>
        <v>0</v>
      </c>
      <c r="AQ191" s="26">
        <f>IFERROR(ROUNDUP(O191/(1-CONFIGURACION!$B$7),0),0)</f>
        <v>0</v>
      </c>
      <c r="AR191" s="20">
        <f>IFERROR(ROUNDUP(O191/(1-CONFIGURACION!$B$8),0),0)</f>
        <v>0</v>
      </c>
      <c r="AS191" s="43"/>
      <c r="AT191" s="30">
        <f t="shared" si="16"/>
        <v>0</v>
      </c>
      <c r="AU191" s="18"/>
    </row>
    <row r="192" spans="1:47">
      <c r="A192" s="17"/>
      <c r="B192" s="17"/>
      <c r="C192" s="17"/>
      <c r="D192" s="17"/>
      <c r="E192" s="20">
        <f>IFERROR(SUMIF(RECETAS!$B:$B,B192,RECETAS!$H:$H),0)</f>
        <v>0</v>
      </c>
      <c r="F192" s="17"/>
      <c r="G192" s="17"/>
      <c r="H192" s="17"/>
      <c r="I192" s="17"/>
      <c r="J192" s="18">
        <f t="shared" si="12"/>
        <v>0</v>
      </c>
      <c r="K192" s="20">
        <f>IFERROR(CONFIGURACION!$B$5,0)</f>
        <v>4000</v>
      </c>
      <c r="L192" s="20">
        <f t="shared" si="13"/>
        <v>0</v>
      </c>
      <c r="M192" s="42">
        <f>IFERROR(CONFIGURACION!$B$9,0)</f>
        <v>0.15</v>
      </c>
      <c r="N192" s="20">
        <f t="shared" si="14"/>
        <v>0</v>
      </c>
      <c r="AO192" s="26">
        <f t="shared" si="15"/>
        <v>0</v>
      </c>
      <c r="AP192" s="20">
        <f>IFERROR(ROUNDUP(O192/(1-CONFIGURACION!$B$6),0),0)</f>
        <v>0</v>
      </c>
      <c r="AQ192" s="26">
        <f>IFERROR(ROUNDUP(O192/(1-CONFIGURACION!$B$7),0),0)</f>
        <v>0</v>
      </c>
      <c r="AR192" s="20">
        <f>IFERROR(ROUNDUP(O192/(1-CONFIGURACION!$B$8),0),0)</f>
        <v>0</v>
      </c>
      <c r="AS192" s="43"/>
      <c r="AT192" s="30">
        <f t="shared" si="16"/>
        <v>0</v>
      </c>
      <c r="AU192" s="18"/>
    </row>
    <row r="193" spans="1:47">
      <c r="A193" s="17"/>
      <c r="B193" s="17"/>
      <c r="C193" s="17"/>
      <c r="D193" s="17"/>
      <c r="E193" s="20">
        <f>IFERROR(SUMIF(RECETAS!$B:$B,B193,RECETAS!$H:$H),0)</f>
        <v>0</v>
      </c>
      <c r="F193" s="17"/>
      <c r="G193" s="17"/>
      <c r="H193" s="17"/>
      <c r="I193" s="17"/>
      <c r="J193" s="18">
        <f t="shared" si="12"/>
        <v>0</v>
      </c>
      <c r="K193" s="20">
        <f>IFERROR(CONFIGURACION!$B$5,0)</f>
        <v>4000</v>
      </c>
      <c r="L193" s="20">
        <f t="shared" si="13"/>
        <v>0</v>
      </c>
      <c r="M193" s="42">
        <f>IFERROR(CONFIGURACION!$B$9,0)</f>
        <v>0.15</v>
      </c>
      <c r="N193" s="20">
        <f t="shared" si="14"/>
        <v>0</v>
      </c>
      <c r="AO193" s="26">
        <f t="shared" si="15"/>
        <v>0</v>
      </c>
      <c r="AP193" s="20">
        <f>IFERROR(ROUNDUP(O193/(1-CONFIGURACION!$B$6),0),0)</f>
        <v>0</v>
      </c>
      <c r="AQ193" s="26">
        <f>IFERROR(ROUNDUP(O193/(1-CONFIGURACION!$B$7),0),0)</f>
        <v>0</v>
      </c>
      <c r="AR193" s="20">
        <f>IFERROR(ROUNDUP(O193/(1-CONFIGURACION!$B$8),0),0)</f>
        <v>0</v>
      </c>
      <c r="AS193" s="43"/>
      <c r="AT193" s="30">
        <f t="shared" si="16"/>
        <v>0</v>
      </c>
      <c r="AU193" s="18"/>
    </row>
    <row r="194" spans="1:47">
      <c r="A194" s="17"/>
      <c r="B194" s="17"/>
      <c r="C194" s="17"/>
      <c r="D194" s="17"/>
      <c r="E194" s="20">
        <f>IFERROR(SUMIF(RECETAS!$B:$B,B194,RECETAS!$H:$H),0)</f>
        <v>0</v>
      </c>
      <c r="F194" s="17"/>
      <c r="G194" s="17"/>
      <c r="H194" s="17"/>
      <c r="I194" s="17"/>
      <c r="J194" s="18">
        <f t="shared" si="12"/>
        <v>0</v>
      </c>
      <c r="K194" s="20">
        <f>IFERROR(CONFIGURACION!$B$5,0)</f>
        <v>4000</v>
      </c>
      <c r="L194" s="20">
        <f t="shared" si="13"/>
        <v>0</v>
      </c>
      <c r="M194" s="42">
        <f>IFERROR(CONFIGURACION!$B$9,0)</f>
        <v>0.15</v>
      </c>
      <c r="N194" s="20">
        <f t="shared" si="14"/>
        <v>0</v>
      </c>
      <c r="AO194" s="26">
        <f t="shared" si="15"/>
        <v>0</v>
      </c>
      <c r="AP194" s="20">
        <f>IFERROR(ROUNDUP(O194/(1-CONFIGURACION!$B$6),0),0)</f>
        <v>0</v>
      </c>
      <c r="AQ194" s="26">
        <f>IFERROR(ROUNDUP(O194/(1-CONFIGURACION!$B$7),0),0)</f>
        <v>0</v>
      </c>
      <c r="AR194" s="20">
        <f>IFERROR(ROUNDUP(O194/(1-CONFIGURACION!$B$8),0),0)</f>
        <v>0</v>
      </c>
      <c r="AS194" s="43"/>
      <c r="AT194" s="30">
        <f t="shared" si="16"/>
        <v>0</v>
      </c>
      <c r="AU194" s="18"/>
    </row>
    <row r="195" spans="1:47">
      <c r="A195" s="17"/>
      <c r="B195" s="17"/>
      <c r="C195" s="17"/>
      <c r="D195" s="17"/>
      <c r="E195" s="20">
        <f>IFERROR(SUMIF(RECETAS!$B:$B,B195,RECETAS!$H:$H),0)</f>
        <v>0</v>
      </c>
      <c r="F195" s="17"/>
      <c r="G195" s="17"/>
      <c r="H195" s="17"/>
      <c r="I195" s="17"/>
      <c r="J195" s="18">
        <f t="shared" si="12"/>
        <v>0</v>
      </c>
      <c r="K195" s="20">
        <f>IFERROR(CONFIGURACION!$B$5,0)</f>
        <v>4000</v>
      </c>
      <c r="L195" s="20">
        <f t="shared" si="13"/>
        <v>0</v>
      </c>
      <c r="M195" s="42">
        <f>IFERROR(CONFIGURACION!$B$9,0)</f>
        <v>0.15</v>
      </c>
      <c r="N195" s="20">
        <f t="shared" si="14"/>
        <v>0</v>
      </c>
      <c r="AO195" s="26">
        <f t="shared" si="15"/>
        <v>0</v>
      </c>
      <c r="AP195" s="20">
        <f>IFERROR(ROUNDUP(O195/(1-CONFIGURACION!$B$6),0),0)</f>
        <v>0</v>
      </c>
      <c r="AQ195" s="26">
        <f>IFERROR(ROUNDUP(O195/(1-CONFIGURACION!$B$7),0),0)</f>
        <v>0</v>
      </c>
      <c r="AR195" s="20">
        <f>IFERROR(ROUNDUP(O195/(1-CONFIGURACION!$B$8),0),0)</f>
        <v>0</v>
      </c>
      <c r="AS195" s="43"/>
      <c r="AT195" s="30">
        <f t="shared" si="16"/>
        <v>0</v>
      </c>
      <c r="AU195" s="18"/>
    </row>
    <row r="196" spans="1:47">
      <c r="A196" s="17"/>
      <c r="B196" s="17"/>
      <c r="C196" s="17"/>
      <c r="D196" s="17"/>
      <c r="E196" s="20">
        <f>IFERROR(SUMIF(RECETAS!$B:$B,B196,RECETAS!$H:$H),0)</f>
        <v>0</v>
      </c>
      <c r="F196" s="17"/>
      <c r="G196" s="17"/>
      <c r="H196" s="17"/>
      <c r="I196" s="17"/>
      <c r="J196" s="18">
        <f t="shared" si="12"/>
        <v>0</v>
      </c>
      <c r="K196" s="20">
        <f>IFERROR(CONFIGURACION!$B$5,0)</f>
        <v>4000</v>
      </c>
      <c r="L196" s="20">
        <f t="shared" si="13"/>
        <v>0</v>
      </c>
      <c r="M196" s="42">
        <f>IFERROR(CONFIGURACION!$B$9,0)</f>
        <v>0.15</v>
      </c>
      <c r="N196" s="20">
        <f t="shared" si="14"/>
        <v>0</v>
      </c>
      <c r="AO196" s="26">
        <f t="shared" si="15"/>
        <v>0</v>
      </c>
      <c r="AP196" s="20">
        <f>IFERROR(ROUNDUP(O196/(1-CONFIGURACION!$B$6),0),0)</f>
        <v>0</v>
      </c>
      <c r="AQ196" s="26">
        <f>IFERROR(ROUNDUP(O196/(1-CONFIGURACION!$B$7),0),0)</f>
        <v>0</v>
      </c>
      <c r="AR196" s="20">
        <f>IFERROR(ROUNDUP(O196/(1-CONFIGURACION!$B$8),0),0)</f>
        <v>0</v>
      </c>
      <c r="AS196" s="43"/>
      <c r="AT196" s="30">
        <f t="shared" si="16"/>
        <v>0</v>
      </c>
      <c r="AU196" s="18"/>
    </row>
    <row r="197" spans="1:47">
      <c r="A197" s="17"/>
      <c r="B197" s="17"/>
      <c r="C197" s="17"/>
      <c r="D197" s="17"/>
      <c r="E197" s="20">
        <f>IFERROR(SUMIF(RECETAS!$B:$B,B197,RECETAS!$H:$H),0)</f>
        <v>0</v>
      </c>
      <c r="F197" s="17"/>
      <c r="G197" s="17"/>
      <c r="H197" s="17"/>
      <c r="I197" s="17"/>
      <c r="J197" s="18">
        <f t="shared" ref="J197:J260" si="17">F197+G197+H197+I197</f>
        <v>0</v>
      </c>
      <c r="K197" s="20">
        <f>IFERROR(CONFIGURACION!$B$5,0)</f>
        <v>4000</v>
      </c>
      <c r="L197" s="20">
        <f t="shared" ref="L197:L260" si="18">IFERROR(J197*K197/60,0)</f>
        <v>0</v>
      </c>
      <c r="M197" s="42">
        <f>IFERROR(CONFIGURACION!$B$9,0)</f>
        <v>0.15</v>
      </c>
      <c r="N197" s="20">
        <f t="shared" ref="N197:N260" si="19">IFERROR((E197+L197)*M197,0)</f>
        <v>0</v>
      </c>
      <c r="AO197" s="26">
        <f t="shared" ref="AO197:AO260" si="20">IFERROR(E197+L197+N197,0)</f>
        <v>0</v>
      </c>
      <c r="AP197" s="20">
        <f>IFERROR(ROUNDUP(O197/(1-CONFIGURACION!$B$6),0),0)</f>
        <v>0</v>
      </c>
      <c r="AQ197" s="26">
        <f>IFERROR(ROUNDUP(O197/(1-CONFIGURACION!$B$7),0),0)</f>
        <v>0</v>
      </c>
      <c r="AR197" s="20">
        <f>IFERROR(ROUNDUP(O197/(1-CONFIGURACION!$B$8),0),0)</f>
        <v>0</v>
      </c>
      <c r="AS197" s="43"/>
      <c r="AT197" s="30">
        <f t="shared" ref="AT197:AT260" si="21">IF(S197&gt;0,(S197-O197)/S197,0)</f>
        <v>0</v>
      </c>
      <c r="AU197" s="18"/>
    </row>
    <row r="198" spans="1:47">
      <c r="A198" s="17"/>
      <c r="B198" s="17"/>
      <c r="C198" s="17"/>
      <c r="D198" s="17"/>
      <c r="E198" s="20">
        <f>IFERROR(SUMIF(RECETAS!$B:$B,B198,RECETAS!$H:$H),0)</f>
        <v>0</v>
      </c>
      <c r="F198" s="17"/>
      <c r="G198" s="17"/>
      <c r="H198" s="17"/>
      <c r="I198" s="17"/>
      <c r="J198" s="18">
        <f t="shared" si="17"/>
        <v>0</v>
      </c>
      <c r="K198" s="20">
        <f>IFERROR(CONFIGURACION!$B$5,0)</f>
        <v>4000</v>
      </c>
      <c r="L198" s="20">
        <f t="shared" si="18"/>
        <v>0</v>
      </c>
      <c r="M198" s="42">
        <f>IFERROR(CONFIGURACION!$B$9,0)</f>
        <v>0.15</v>
      </c>
      <c r="N198" s="20">
        <f t="shared" si="19"/>
        <v>0</v>
      </c>
      <c r="AO198" s="26">
        <f t="shared" si="20"/>
        <v>0</v>
      </c>
      <c r="AP198" s="20">
        <f>IFERROR(ROUNDUP(O198/(1-CONFIGURACION!$B$6),0),0)</f>
        <v>0</v>
      </c>
      <c r="AQ198" s="26">
        <f>IFERROR(ROUNDUP(O198/(1-CONFIGURACION!$B$7),0),0)</f>
        <v>0</v>
      </c>
      <c r="AR198" s="20">
        <f>IFERROR(ROUNDUP(O198/(1-CONFIGURACION!$B$8),0),0)</f>
        <v>0</v>
      </c>
      <c r="AS198" s="43"/>
      <c r="AT198" s="30">
        <f t="shared" si="21"/>
        <v>0</v>
      </c>
      <c r="AU198" s="18"/>
    </row>
    <row r="199" spans="1:47">
      <c r="A199" s="17"/>
      <c r="B199" s="17"/>
      <c r="C199" s="17"/>
      <c r="D199" s="17"/>
      <c r="E199" s="20">
        <f>IFERROR(SUMIF(RECETAS!$B:$B,B199,RECETAS!$H:$H),0)</f>
        <v>0</v>
      </c>
      <c r="F199" s="17"/>
      <c r="G199" s="17"/>
      <c r="H199" s="17"/>
      <c r="I199" s="17"/>
      <c r="J199" s="18">
        <f t="shared" si="17"/>
        <v>0</v>
      </c>
      <c r="K199" s="20">
        <f>IFERROR(CONFIGURACION!$B$5,0)</f>
        <v>4000</v>
      </c>
      <c r="L199" s="20">
        <f t="shared" si="18"/>
        <v>0</v>
      </c>
      <c r="M199" s="42">
        <f>IFERROR(CONFIGURACION!$B$9,0)</f>
        <v>0.15</v>
      </c>
      <c r="N199" s="20">
        <f t="shared" si="19"/>
        <v>0</v>
      </c>
      <c r="AO199" s="26">
        <f t="shared" si="20"/>
        <v>0</v>
      </c>
      <c r="AP199" s="20">
        <f>IFERROR(ROUNDUP(O199/(1-CONFIGURACION!$B$6),0),0)</f>
        <v>0</v>
      </c>
      <c r="AQ199" s="26">
        <f>IFERROR(ROUNDUP(O199/(1-CONFIGURACION!$B$7),0),0)</f>
        <v>0</v>
      </c>
      <c r="AR199" s="20">
        <f>IFERROR(ROUNDUP(O199/(1-CONFIGURACION!$B$8),0),0)</f>
        <v>0</v>
      </c>
      <c r="AS199" s="43"/>
      <c r="AT199" s="30">
        <f t="shared" si="21"/>
        <v>0</v>
      </c>
      <c r="AU199" s="18"/>
    </row>
    <row r="200" spans="1:47">
      <c r="A200" s="17"/>
      <c r="B200" s="17"/>
      <c r="C200" s="17"/>
      <c r="D200" s="17"/>
      <c r="E200" s="20">
        <f>IFERROR(SUMIF(RECETAS!$B:$B,B200,RECETAS!$H:$H),0)</f>
        <v>0</v>
      </c>
      <c r="F200" s="17"/>
      <c r="G200" s="17"/>
      <c r="H200" s="17"/>
      <c r="I200" s="17"/>
      <c r="J200" s="18">
        <f t="shared" si="17"/>
        <v>0</v>
      </c>
      <c r="K200" s="20">
        <f>IFERROR(CONFIGURACION!$B$5,0)</f>
        <v>4000</v>
      </c>
      <c r="L200" s="20">
        <f t="shared" si="18"/>
        <v>0</v>
      </c>
      <c r="M200" s="42">
        <f>IFERROR(CONFIGURACION!$B$9,0)</f>
        <v>0.15</v>
      </c>
      <c r="N200" s="20">
        <f t="shared" si="19"/>
        <v>0</v>
      </c>
      <c r="AO200" s="26">
        <f t="shared" si="20"/>
        <v>0</v>
      </c>
      <c r="AP200" s="20">
        <f>IFERROR(ROUNDUP(O200/(1-CONFIGURACION!$B$6),0),0)</f>
        <v>0</v>
      </c>
      <c r="AQ200" s="26">
        <f>IFERROR(ROUNDUP(O200/(1-CONFIGURACION!$B$7),0),0)</f>
        <v>0</v>
      </c>
      <c r="AR200" s="20">
        <f>IFERROR(ROUNDUP(O200/(1-CONFIGURACION!$B$8),0),0)</f>
        <v>0</v>
      </c>
      <c r="AS200" s="43"/>
      <c r="AT200" s="30">
        <f t="shared" si="21"/>
        <v>0</v>
      </c>
      <c r="AU200" s="18"/>
    </row>
    <row r="201" spans="1:47">
      <c r="A201" s="17"/>
      <c r="B201" s="17"/>
      <c r="C201" s="17"/>
      <c r="D201" s="17"/>
      <c r="E201" s="20">
        <f>IFERROR(SUMIF(RECETAS!$B:$B,B201,RECETAS!$H:$H),0)</f>
        <v>0</v>
      </c>
      <c r="F201" s="17"/>
      <c r="G201" s="17"/>
      <c r="H201" s="17"/>
      <c r="I201" s="17"/>
      <c r="J201" s="18">
        <f t="shared" si="17"/>
        <v>0</v>
      </c>
      <c r="K201" s="20">
        <f>IFERROR(CONFIGURACION!$B$5,0)</f>
        <v>4000</v>
      </c>
      <c r="L201" s="20">
        <f t="shared" si="18"/>
        <v>0</v>
      </c>
      <c r="M201" s="42">
        <f>IFERROR(CONFIGURACION!$B$9,0)</f>
        <v>0.15</v>
      </c>
      <c r="N201" s="20">
        <f t="shared" si="19"/>
        <v>0</v>
      </c>
      <c r="AO201" s="26">
        <f t="shared" si="20"/>
        <v>0</v>
      </c>
      <c r="AP201" s="20">
        <f>IFERROR(ROUNDUP(O201/(1-CONFIGURACION!$B$6),0),0)</f>
        <v>0</v>
      </c>
      <c r="AQ201" s="26">
        <f>IFERROR(ROUNDUP(O201/(1-CONFIGURACION!$B$7),0),0)</f>
        <v>0</v>
      </c>
      <c r="AR201" s="20">
        <f>IFERROR(ROUNDUP(O201/(1-CONFIGURACION!$B$8),0),0)</f>
        <v>0</v>
      </c>
      <c r="AS201" s="43"/>
      <c r="AT201" s="30">
        <f t="shared" si="21"/>
        <v>0</v>
      </c>
      <c r="AU201" s="18"/>
    </row>
    <row r="202" spans="1:47">
      <c r="A202" s="17"/>
      <c r="B202" s="17"/>
      <c r="C202" s="17"/>
      <c r="D202" s="17"/>
      <c r="E202" s="20">
        <f>IFERROR(SUMIF(RECETAS!$B:$B,B202,RECETAS!$H:$H),0)</f>
        <v>0</v>
      </c>
      <c r="F202" s="17"/>
      <c r="G202" s="17"/>
      <c r="H202" s="17"/>
      <c r="I202" s="17"/>
      <c r="J202" s="18">
        <f t="shared" si="17"/>
        <v>0</v>
      </c>
      <c r="K202" s="20">
        <f>IFERROR(CONFIGURACION!$B$5,0)</f>
        <v>4000</v>
      </c>
      <c r="L202" s="20">
        <f t="shared" si="18"/>
        <v>0</v>
      </c>
      <c r="M202" s="42">
        <f>IFERROR(CONFIGURACION!$B$9,0)</f>
        <v>0.15</v>
      </c>
      <c r="N202" s="20">
        <f t="shared" si="19"/>
        <v>0</v>
      </c>
      <c r="AO202" s="26">
        <f t="shared" si="20"/>
        <v>0</v>
      </c>
      <c r="AP202" s="20">
        <f>IFERROR(ROUNDUP(O202/(1-CONFIGURACION!$B$6),0),0)</f>
        <v>0</v>
      </c>
      <c r="AQ202" s="26">
        <f>IFERROR(ROUNDUP(O202/(1-CONFIGURACION!$B$7),0),0)</f>
        <v>0</v>
      </c>
      <c r="AR202" s="20">
        <f>IFERROR(ROUNDUP(O202/(1-CONFIGURACION!$B$8),0),0)</f>
        <v>0</v>
      </c>
      <c r="AS202" s="43"/>
      <c r="AT202" s="30">
        <f t="shared" si="21"/>
        <v>0</v>
      </c>
      <c r="AU202" s="18"/>
    </row>
    <row r="203" spans="1:47">
      <c r="A203" s="17"/>
      <c r="B203" s="17"/>
      <c r="C203" s="17"/>
      <c r="D203" s="17"/>
      <c r="E203" s="20">
        <f>IFERROR(SUMIF(RECETAS!$B:$B,B203,RECETAS!$H:$H),0)</f>
        <v>0</v>
      </c>
      <c r="F203" s="17"/>
      <c r="G203" s="17"/>
      <c r="H203" s="17"/>
      <c r="I203" s="17"/>
      <c r="J203" s="18">
        <f t="shared" si="17"/>
        <v>0</v>
      </c>
      <c r="K203" s="20">
        <f>IFERROR(CONFIGURACION!$B$5,0)</f>
        <v>4000</v>
      </c>
      <c r="L203" s="20">
        <f t="shared" si="18"/>
        <v>0</v>
      </c>
      <c r="M203" s="42">
        <f>IFERROR(CONFIGURACION!$B$9,0)</f>
        <v>0.15</v>
      </c>
      <c r="N203" s="20">
        <f t="shared" si="19"/>
        <v>0</v>
      </c>
      <c r="AO203" s="26">
        <f t="shared" si="20"/>
        <v>0</v>
      </c>
      <c r="AP203" s="20">
        <f>IFERROR(ROUNDUP(O203/(1-CONFIGURACION!$B$6),0),0)</f>
        <v>0</v>
      </c>
      <c r="AQ203" s="26">
        <f>IFERROR(ROUNDUP(O203/(1-CONFIGURACION!$B$7),0),0)</f>
        <v>0</v>
      </c>
      <c r="AR203" s="20">
        <f>IFERROR(ROUNDUP(O203/(1-CONFIGURACION!$B$8),0),0)</f>
        <v>0</v>
      </c>
      <c r="AS203" s="43"/>
      <c r="AT203" s="30">
        <f t="shared" si="21"/>
        <v>0</v>
      </c>
      <c r="AU203" s="18"/>
    </row>
    <row r="204" spans="1:47">
      <c r="A204" s="17"/>
      <c r="B204" s="17"/>
      <c r="C204" s="17"/>
      <c r="D204" s="17"/>
      <c r="E204" s="20">
        <f>IFERROR(SUMIF(RECETAS!$B:$B,B204,RECETAS!$H:$H),0)</f>
        <v>0</v>
      </c>
      <c r="F204" s="17"/>
      <c r="G204" s="17"/>
      <c r="H204" s="17"/>
      <c r="I204" s="17"/>
      <c r="J204" s="18">
        <f t="shared" si="17"/>
        <v>0</v>
      </c>
      <c r="K204" s="20">
        <f>IFERROR(CONFIGURACION!$B$5,0)</f>
        <v>4000</v>
      </c>
      <c r="L204" s="20">
        <f t="shared" si="18"/>
        <v>0</v>
      </c>
      <c r="M204" s="42">
        <f>IFERROR(CONFIGURACION!$B$9,0)</f>
        <v>0.15</v>
      </c>
      <c r="N204" s="20">
        <f t="shared" si="19"/>
        <v>0</v>
      </c>
      <c r="AO204" s="26">
        <f t="shared" si="20"/>
        <v>0</v>
      </c>
      <c r="AP204" s="20">
        <f>IFERROR(ROUNDUP(O204/(1-CONFIGURACION!$B$6),0),0)</f>
        <v>0</v>
      </c>
      <c r="AQ204" s="26">
        <f>IFERROR(ROUNDUP(O204/(1-CONFIGURACION!$B$7),0),0)</f>
        <v>0</v>
      </c>
      <c r="AR204" s="20">
        <f>IFERROR(ROUNDUP(O204/(1-CONFIGURACION!$B$8),0),0)</f>
        <v>0</v>
      </c>
      <c r="AS204" s="43"/>
      <c r="AT204" s="30">
        <f t="shared" si="21"/>
        <v>0</v>
      </c>
      <c r="AU204" s="18"/>
    </row>
    <row r="205" spans="1:47">
      <c r="A205" s="17"/>
      <c r="B205" s="17"/>
      <c r="C205" s="17"/>
      <c r="D205" s="17"/>
      <c r="E205" s="20">
        <f>IFERROR(SUMIF(RECETAS!$B:$B,B205,RECETAS!$H:$H),0)</f>
        <v>0</v>
      </c>
      <c r="F205" s="17"/>
      <c r="G205" s="17"/>
      <c r="H205" s="17"/>
      <c r="I205" s="17"/>
      <c r="J205" s="18">
        <f t="shared" si="17"/>
        <v>0</v>
      </c>
      <c r="K205" s="20">
        <f>IFERROR(CONFIGURACION!$B$5,0)</f>
        <v>4000</v>
      </c>
      <c r="L205" s="20">
        <f t="shared" si="18"/>
        <v>0</v>
      </c>
      <c r="M205" s="42">
        <f>IFERROR(CONFIGURACION!$B$9,0)</f>
        <v>0.15</v>
      </c>
      <c r="N205" s="20">
        <f t="shared" si="19"/>
        <v>0</v>
      </c>
      <c r="AO205" s="26">
        <f t="shared" si="20"/>
        <v>0</v>
      </c>
      <c r="AP205" s="20">
        <f>IFERROR(ROUNDUP(O205/(1-CONFIGURACION!$B$6),0),0)</f>
        <v>0</v>
      </c>
      <c r="AQ205" s="26">
        <f>IFERROR(ROUNDUP(O205/(1-CONFIGURACION!$B$7),0),0)</f>
        <v>0</v>
      </c>
      <c r="AR205" s="20">
        <f>IFERROR(ROUNDUP(O205/(1-CONFIGURACION!$B$8),0),0)</f>
        <v>0</v>
      </c>
      <c r="AS205" s="43"/>
      <c r="AT205" s="30">
        <f t="shared" si="21"/>
        <v>0</v>
      </c>
      <c r="AU205" s="18"/>
    </row>
    <row r="206" spans="1:47">
      <c r="A206" s="17"/>
      <c r="B206" s="17"/>
      <c r="C206" s="17"/>
      <c r="D206" s="17"/>
      <c r="E206" s="20">
        <f>IFERROR(SUMIF(RECETAS!$B:$B,B206,RECETAS!$H:$H),0)</f>
        <v>0</v>
      </c>
      <c r="F206" s="17"/>
      <c r="G206" s="17"/>
      <c r="H206" s="17"/>
      <c r="I206" s="17"/>
      <c r="J206" s="18">
        <f t="shared" si="17"/>
        <v>0</v>
      </c>
      <c r="K206" s="20">
        <f>IFERROR(CONFIGURACION!$B$5,0)</f>
        <v>4000</v>
      </c>
      <c r="L206" s="20">
        <f t="shared" si="18"/>
        <v>0</v>
      </c>
      <c r="M206" s="42">
        <f>IFERROR(CONFIGURACION!$B$9,0)</f>
        <v>0.15</v>
      </c>
      <c r="N206" s="20">
        <f t="shared" si="19"/>
        <v>0</v>
      </c>
      <c r="AO206" s="26">
        <f t="shared" si="20"/>
        <v>0</v>
      </c>
      <c r="AP206" s="20">
        <f>IFERROR(ROUNDUP(O206/(1-CONFIGURACION!$B$6),0),0)</f>
        <v>0</v>
      </c>
      <c r="AQ206" s="26">
        <f>IFERROR(ROUNDUP(O206/(1-CONFIGURACION!$B$7),0),0)</f>
        <v>0</v>
      </c>
      <c r="AR206" s="20">
        <f>IFERROR(ROUNDUP(O206/(1-CONFIGURACION!$B$8),0),0)</f>
        <v>0</v>
      </c>
      <c r="AS206" s="43"/>
      <c r="AT206" s="30">
        <f t="shared" si="21"/>
        <v>0</v>
      </c>
      <c r="AU206" s="18"/>
    </row>
    <row r="207" spans="1:47">
      <c r="A207" s="17"/>
      <c r="B207" s="17"/>
      <c r="C207" s="17"/>
      <c r="D207" s="17"/>
      <c r="E207" s="20">
        <f>IFERROR(SUMIF(RECETAS!$B:$B,B207,RECETAS!$H:$H),0)</f>
        <v>0</v>
      </c>
      <c r="F207" s="17"/>
      <c r="G207" s="17"/>
      <c r="H207" s="17"/>
      <c r="I207" s="17"/>
      <c r="J207" s="18">
        <f t="shared" si="17"/>
        <v>0</v>
      </c>
      <c r="K207" s="20">
        <f>IFERROR(CONFIGURACION!$B$5,0)</f>
        <v>4000</v>
      </c>
      <c r="L207" s="20">
        <f t="shared" si="18"/>
        <v>0</v>
      </c>
      <c r="M207" s="42">
        <f>IFERROR(CONFIGURACION!$B$9,0)</f>
        <v>0.15</v>
      </c>
      <c r="N207" s="20">
        <f t="shared" si="19"/>
        <v>0</v>
      </c>
      <c r="AO207" s="26">
        <f t="shared" si="20"/>
        <v>0</v>
      </c>
      <c r="AP207" s="20">
        <f>IFERROR(ROUNDUP(O207/(1-CONFIGURACION!$B$6),0),0)</f>
        <v>0</v>
      </c>
      <c r="AQ207" s="26">
        <f>IFERROR(ROUNDUP(O207/(1-CONFIGURACION!$B$7),0),0)</f>
        <v>0</v>
      </c>
      <c r="AR207" s="20">
        <f>IFERROR(ROUNDUP(O207/(1-CONFIGURACION!$B$8),0),0)</f>
        <v>0</v>
      </c>
      <c r="AS207" s="43"/>
      <c r="AT207" s="30">
        <f t="shared" si="21"/>
        <v>0</v>
      </c>
      <c r="AU207" s="18"/>
    </row>
    <row r="208" spans="1:47">
      <c r="A208" s="17"/>
      <c r="B208" s="17"/>
      <c r="C208" s="17"/>
      <c r="D208" s="17"/>
      <c r="E208" s="20">
        <f>IFERROR(SUMIF(RECETAS!$B:$B,B208,RECETAS!$H:$H),0)</f>
        <v>0</v>
      </c>
      <c r="F208" s="17"/>
      <c r="G208" s="17"/>
      <c r="H208" s="17"/>
      <c r="I208" s="17"/>
      <c r="J208" s="18">
        <f t="shared" si="17"/>
        <v>0</v>
      </c>
      <c r="K208" s="20">
        <f>IFERROR(CONFIGURACION!$B$5,0)</f>
        <v>4000</v>
      </c>
      <c r="L208" s="20">
        <f t="shared" si="18"/>
        <v>0</v>
      </c>
      <c r="M208" s="42">
        <f>IFERROR(CONFIGURACION!$B$9,0)</f>
        <v>0.15</v>
      </c>
      <c r="N208" s="20">
        <f t="shared" si="19"/>
        <v>0</v>
      </c>
      <c r="AO208" s="26">
        <f t="shared" si="20"/>
        <v>0</v>
      </c>
      <c r="AP208" s="20">
        <f>IFERROR(ROUNDUP(O208/(1-CONFIGURACION!$B$6),0),0)</f>
        <v>0</v>
      </c>
      <c r="AQ208" s="26">
        <f>IFERROR(ROUNDUP(O208/(1-CONFIGURACION!$B$7),0),0)</f>
        <v>0</v>
      </c>
      <c r="AR208" s="20">
        <f>IFERROR(ROUNDUP(O208/(1-CONFIGURACION!$B$8),0),0)</f>
        <v>0</v>
      </c>
      <c r="AS208" s="43"/>
      <c r="AT208" s="30">
        <f t="shared" si="21"/>
        <v>0</v>
      </c>
      <c r="AU208" s="18"/>
    </row>
    <row r="209" spans="1:47">
      <c r="A209" s="17"/>
      <c r="B209" s="17"/>
      <c r="C209" s="17"/>
      <c r="D209" s="17"/>
      <c r="E209" s="20">
        <f>IFERROR(SUMIF(RECETAS!$B:$B,B209,RECETAS!$H:$H),0)</f>
        <v>0</v>
      </c>
      <c r="F209" s="17"/>
      <c r="G209" s="17"/>
      <c r="H209" s="17"/>
      <c r="I209" s="17"/>
      <c r="J209" s="18">
        <f t="shared" si="17"/>
        <v>0</v>
      </c>
      <c r="K209" s="20">
        <f>IFERROR(CONFIGURACION!$B$5,0)</f>
        <v>4000</v>
      </c>
      <c r="L209" s="20">
        <f t="shared" si="18"/>
        <v>0</v>
      </c>
      <c r="M209" s="42">
        <f>IFERROR(CONFIGURACION!$B$9,0)</f>
        <v>0.15</v>
      </c>
      <c r="N209" s="20">
        <f t="shared" si="19"/>
        <v>0</v>
      </c>
      <c r="AO209" s="26">
        <f t="shared" si="20"/>
        <v>0</v>
      </c>
      <c r="AP209" s="20">
        <f>IFERROR(ROUNDUP(O209/(1-CONFIGURACION!$B$6),0),0)</f>
        <v>0</v>
      </c>
      <c r="AQ209" s="26">
        <f>IFERROR(ROUNDUP(O209/(1-CONFIGURACION!$B$7),0),0)</f>
        <v>0</v>
      </c>
      <c r="AR209" s="20">
        <f>IFERROR(ROUNDUP(O209/(1-CONFIGURACION!$B$8),0),0)</f>
        <v>0</v>
      </c>
      <c r="AS209" s="43"/>
      <c r="AT209" s="30">
        <f t="shared" si="21"/>
        <v>0</v>
      </c>
      <c r="AU209" s="18"/>
    </row>
    <row r="210" spans="1:47">
      <c r="A210" s="17"/>
      <c r="B210" s="17"/>
      <c r="C210" s="17"/>
      <c r="D210" s="17"/>
      <c r="E210" s="20">
        <f>IFERROR(SUMIF(RECETAS!$B:$B,B210,RECETAS!$H:$H),0)</f>
        <v>0</v>
      </c>
      <c r="F210" s="17"/>
      <c r="G210" s="17"/>
      <c r="H210" s="17"/>
      <c r="I210" s="17"/>
      <c r="J210" s="18">
        <f t="shared" si="17"/>
        <v>0</v>
      </c>
      <c r="K210" s="20">
        <f>IFERROR(CONFIGURACION!$B$5,0)</f>
        <v>4000</v>
      </c>
      <c r="L210" s="20">
        <f t="shared" si="18"/>
        <v>0</v>
      </c>
      <c r="M210" s="42">
        <f>IFERROR(CONFIGURACION!$B$9,0)</f>
        <v>0.15</v>
      </c>
      <c r="N210" s="20">
        <f t="shared" si="19"/>
        <v>0</v>
      </c>
      <c r="AO210" s="26">
        <f t="shared" si="20"/>
        <v>0</v>
      </c>
      <c r="AP210" s="20">
        <f>IFERROR(ROUNDUP(O210/(1-CONFIGURACION!$B$6),0),0)</f>
        <v>0</v>
      </c>
      <c r="AQ210" s="26">
        <f>IFERROR(ROUNDUP(O210/(1-CONFIGURACION!$B$7),0),0)</f>
        <v>0</v>
      </c>
      <c r="AR210" s="20">
        <f>IFERROR(ROUNDUP(O210/(1-CONFIGURACION!$B$8),0),0)</f>
        <v>0</v>
      </c>
      <c r="AS210" s="43"/>
      <c r="AT210" s="30">
        <f t="shared" si="21"/>
        <v>0</v>
      </c>
      <c r="AU210" s="18"/>
    </row>
    <row r="211" spans="1:47">
      <c r="A211" s="17"/>
      <c r="B211" s="17"/>
      <c r="C211" s="17"/>
      <c r="D211" s="17"/>
      <c r="E211" s="20">
        <f>IFERROR(SUMIF(RECETAS!$B:$B,B211,RECETAS!$H:$H),0)</f>
        <v>0</v>
      </c>
      <c r="F211" s="17"/>
      <c r="G211" s="17"/>
      <c r="H211" s="17"/>
      <c r="I211" s="17"/>
      <c r="J211" s="18">
        <f t="shared" si="17"/>
        <v>0</v>
      </c>
      <c r="K211" s="20">
        <f>IFERROR(CONFIGURACION!$B$5,0)</f>
        <v>4000</v>
      </c>
      <c r="L211" s="20">
        <f t="shared" si="18"/>
        <v>0</v>
      </c>
      <c r="M211" s="42">
        <f>IFERROR(CONFIGURACION!$B$9,0)</f>
        <v>0.15</v>
      </c>
      <c r="N211" s="20">
        <f t="shared" si="19"/>
        <v>0</v>
      </c>
      <c r="AO211" s="26">
        <f t="shared" si="20"/>
        <v>0</v>
      </c>
      <c r="AP211" s="20">
        <f>IFERROR(ROUNDUP(O211/(1-CONFIGURACION!$B$6),0),0)</f>
        <v>0</v>
      </c>
      <c r="AQ211" s="26">
        <f>IFERROR(ROUNDUP(O211/(1-CONFIGURACION!$B$7),0),0)</f>
        <v>0</v>
      </c>
      <c r="AR211" s="20">
        <f>IFERROR(ROUNDUP(O211/(1-CONFIGURACION!$B$8),0),0)</f>
        <v>0</v>
      </c>
      <c r="AS211" s="43"/>
      <c r="AT211" s="30">
        <f t="shared" si="21"/>
        <v>0</v>
      </c>
      <c r="AU211" s="18"/>
    </row>
    <row r="212" spans="1:47">
      <c r="A212" s="17"/>
      <c r="B212" s="17"/>
      <c r="C212" s="17"/>
      <c r="D212" s="17"/>
      <c r="E212" s="20">
        <f>IFERROR(SUMIF(RECETAS!$B:$B,B212,RECETAS!$H:$H),0)</f>
        <v>0</v>
      </c>
      <c r="F212" s="17"/>
      <c r="G212" s="17"/>
      <c r="H212" s="17"/>
      <c r="I212" s="17"/>
      <c r="J212" s="18">
        <f t="shared" si="17"/>
        <v>0</v>
      </c>
      <c r="K212" s="20">
        <f>IFERROR(CONFIGURACION!$B$5,0)</f>
        <v>4000</v>
      </c>
      <c r="L212" s="20">
        <f t="shared" si="18"/>
        <v>0</v>
      </c>
      <c r="M212" s="42">
        <f>IFERROR(CONFIGURACION!$B$9,0)</f>
        <v>0.15</v>
      </c>
      <c r="N212" s="20">
        <f t="shared" si="19"/>
        <v>0</v>
      </c>
      <c r="AO212" s="26">
        <f t="shared" si="20"/>
        <v>0</v>
      </c>
      <c r="AP212" s="20">
        <f>IFERROR(ROUNDUP(O212/(1-CONFIGURACION!$B$6),0),0)</f>
        <v>0</v>
      </c>
      <c r="AQ212" s="26">
        <f>IFERROR(ROUNDUP(O212/(1-CONFIGURACION!$B$7),0),0)</f>
        <v>0</v>
      </c>
      <c r="AR212" s="20">
        <f>IFERROR(ROUNDUP(O212/(1-CONFIGURACION!$B$8),0),0)</f>
        <v>0</v>
      </c>
      <c r="AS212" s="43"/>
      <c r="AT212" s="30">
        <f t="shared" si="21"/>
        <v>0</v>
      </c>
      <c r="AU212" s="18"/>
    </row>
    <row r="213" spans="1:47">
      <c r="A213" s="17"/>
      <c r="B213" s="17"/>
      <c r="C213" s="17"/>
      <c r="D213" s="17"/>
      <c r="E213" s="20">
        <f>IFERROR(SUMIF(RECETAS!$B:$B,B213,RECETAS!$H:$H),0)</f>
        <v>0</v>
      </c>
      <c r="F213" s="17"/>
      <c r="G213" s="17"/>
      <c r="H213" s="17"/>
      <c r="I213" s="17"/>
      <c r="J213" s="18">
        <f t="shared" si="17"/>
        <v>0</v>
      </c>
      <c r="K213" s="20">
        <f>IFERROR(CONFIGURACION!$B$5,0)</f>
        <v>4000</v>
      </c>
      <c r="L213" s="20">
        <f t="shared" si="18"/>
        <v>0</v>
      </c>
      <c r="M213" s="42">
        <f>IFERROR(CONFIGURACION!$B$9,0)</f>
        <v>0.15</v>
      </c>
      <c r="N213" s="20">
        <f t="shared" si="19"/>
        <v>0</v>
      </c>
      <c r="AO213" s="26">
        <f t="shared" si="20"/>
        <v>0</v>
      </c>
      <c r="AP213" s="20">
        <f>IFERROR(ROUNDUP(O213/(1-CONFIGURACION!$B$6),0),0)</f>
        <v>0</v>
      </c>
      <c r="AQ213" s="26">
        <f>IFERROR(ROUNDUP(O213/(1-CONFIGURACION!$B$7),0),0)</f>
        <v>0</v>
      </c>
      <c r="AR213" s="20">
        <f>IFERROR(ROUNDUP(O213/(1-CONFIGURACION!$B$8),0),0)</f>
        <v>0</v>
      </c>
      <c r="AS213" s="43"/>
      <c r="AT213" s="30">
        <f t="shared" si="21"/>
        <v>0</v>
      </c>
      <c r="AU213" s="18"/>
    </row>
    <row r="214" spans="1:47">
      <c r="A214" s="17"/>
      <c r="B214" s="17"/>
      <c r="C214" s="17"/>
      <c r="D214" s="17"/>
      <c r="E214" s="20">
        <f>IFERROR(SUMIF(RECETAS!$B:$B,B214,RECETAS!$H:$H),0)</f>
        <v>0</v>
      </c>
      <c r="F214" s="17"/>
      <c r="G214" s="17"/>
      <c r="H214" s="17"/>
      <c r="I214" s="17"/>
      <c r="J214" s="18">
        <f t="shared" si="17"/>
        <v>0</v>
      </c>
      <c r="K214" s="20">
        <f>IFERROR(CONFIGURACION!$B$5,0)</f>
        <v>4000</v>
      </c>
      <c r="L214" s="20">
        <f t="shared" si="18"/>
        <v>0</v>
      </c>
      <c r="M214" s="42">
        <f>IFERROR(CONFIGURACION!$B$9,0)</f>
        <v>0.15</v>
      </c>
      <c r="N214" s="20">
        <f t="shared" si="19"/>
        <v>0</v>
      </c>
      <c r="AO214" s="26">
        <f t="shared" si="20"/>
        <v>0</v>
      </c>
      <c r="AP214" s="20">
        <f>IFERROR(ROUNDUP(O214/(1-CONFIGURACION!$B$6),0),0)</f>
        <v>0</v>
      </c>
      <c r="AQ214" s="26">
        <f>IFERROR(ROUNDUP(O214/(1-CONFIGURACION!$B$7),0),0)</f>
        <v>0</v>
      </c>
      <c r="AR214" s="20">
        <f>IFERROR(ROUNDUP(O214/(1-CONFIGURACION!$B$8),0),0)</f>
        <v>0</v>
      </c>
      <c r="AS214" s="43"/>
      <c r="AT214" s="30">
        <f t="shared" si="21"/>
        <v>0</v>
      </c>
      <c r="AU214" s="18"/>
    </row>
    <row r="215" spans="1:47">
      <c r="A215" s="17"/>
      <c r="B215" s="17"/>
      <c r="C215" s="17"/>
      <c r="D215" s="17"/>
      <c r="E215" s="20">
        <f>IFERROR(SUMIF(RECETAS!$B:$B,B215,RECETAS!$H:$H),0)</f>
        <v>0</v>
      </c>
      <c r="F215" s="17"/>
      <c r="G215" s="17"/>
      <c r="H215" s="17"/>
      <c r="I215" s="17"/>
      <c r="J215" s="18">
        <f t="shared" si="17"/>
        <v>0</v>
      </c>
      <c r="K215" s="20">
        <f>IFERROR(CONFIGURACION!$B$5,0)</f>
        <v>4000</v>
      </c>
      <c r="L215" s="20">
        <f t="shared" si="18"/>
        <v>0</v>
      </c>
      <c r="M215" s="42">
        <f>IFERROR(CONFIGURACION!$B$9,0)</f>
        <v>0.15</v>
      </c>
      <c r="N215" s="20">
        <f t="shared" si="19"/>
        <v>0</v>
      </c>
      <c r="AO215" s="26">
        <f t="shared" si="20"/>
        <v>0</v>
      </c>
      <c r="AP215" s="20">
        <f>IFERROR(ROUNDUP(O215/(1-CONFIGURACION!$B$6),0),0)</f>
        <v>0</v>
      </c>
      <c r="AQ215" s="26">
        <f>IFERROR(ROUNDUP(O215/(1-CONFIGURACION!$B$7),0),0)</f>
        <v>0</v>
      </c>
      <c r="AR215" s="20">
        <f>IFERROR(ROUNDUP(O215/(1-CONFIGURACION!$B$8),0),0)</f>
        <v>0</v>
      </c>
      <c r="AS215" s="43"/>
      <c r="AT215" s="30">
        <f t="shared" si="21"/>
        <v>0</v>
      </c>
      <c r="AU215" s="18"/>
    </row>
    <row r="216" spans="1:47">
      <c r="A216" s="17"/>
      <c r="B216" s="17"/>
      <c r="C216" s="17"/>
      <c r="D216" s="17"/>
      <c r="E216" s="20">
        <f>IFERROR(SUMIF(RECETAS!$B:$B,B216,RECETAS!$H:$H),0)</f>
        <v>0</v>
      </c>
      <c r="F216" s="17"/>
      <c r="G216" s="17"/>
      <c r="H216" s="17"/>
      <c r="I216" s="17"/>
      <c r="J216" s="18">
        <f t="shared" si="17"/>
        <v>0</v>
      </c>
      <c r="K216" s="20">
        <f>IFERROR(CONFIGURACION!$B$5,0)</f>
        <v>4000</v>
      </c>
      <c r="L216" s="20">
        <f t="shared" si="18"/>
        <v>0</v>
      </c>
      <c r="M216" s="42">
        <f>IFERROR(CONFIGURACION!$B$9,0)</f>
        <v>0.15</v>
      </c>
      <c r="N216" s="20">
        <f t="shared" si="19"/>
        <v>0</v>
      </c>
      <c r="AO216" s="26">
        <f t="shared" si="20"/>
        <v>0</v>
      </c>
      <c r="AP216" s="20">
        <f>IFERROR(ROUNDUP(O216/(1-CONFIGURACION!$B$6),0),0)</f>
        <v>0</v>
      </c>
      <c r="AQ216" s="26">
        <f>IFERROR(ROUNDUP(O216/(1-CONFIGURACION!$B$7),0),0)</f>
        <v>0</v>
      </c>
      <c r="AR216" s="20">
        <f>IFERROR(ROUNDUP(O216/(1-CONFIGURACION!$B$8),0),0)</f>
        <v>0</v>
      </c>
      <c r="AS216" s="43"/>
      <c r="AT216" s="30">
        <f t="shared" si="21"/>
        <v>0</v>
      </c>
      <c r="AU216" s="18"/>
    </row>
    <row r="217" spans="1:47">
      <c r="A217" s="17"/>
      <c r="B217" s="17"/>
      <c r="C217" s="17"/>
      <c r="D217" s="17"/>
      <c r="E217" s="20">
        <f>IFERROR(SUMIF(RECETAS!$B:$B,B217,RECETAS!$H:$H),0)</f>
        <v>0</v>
      </c>
      <c r="F217" s="17"/>
      <c r="G217" s="17"/>
      <c r="H217" s="17"/>
      <c r="I217" s="17"/>
      <c r="J217" s="18">
        <f t="shared" si="17"/>
        <v>0</v>
      </c>
      <c r="K217" s="20">
        <f>IFERROR(CONFIGURACION!$B$5,0)</f>
        <v>4000</v>
      </c>
      <c r="L217" s="20">
        <f t="shared" si="18"/>
        <v>0</v>
      </c>
      <c r="M217" s="42">
        <f>IFERROR(CONFIGURACION!$B$9,0)</f>
        <v>0.15</v>
      </c>
      <c r="N217" s="20">
        <f t="shared" si="19"/>
        <v>0</v>
      </c>
      <c r="AO217" s="26">
        <f t="shared" si="20"/>
        <v>0</v>
      </c>
      <c r="AP217" s="20">
        <f>IFERROR(ROUNDUP(O217/(1-CONFIGURACION!$B$6),0),0)</f>
        <v>0</v>
      </c>
      <c r="AQ217" s="26">
        <f>IFERROR(ROUNDUP(O217/(1-CONFIGURACION!$B$7),0),0)</f>
        <v>0</v>
      </c>
      <c r="AR217" s="20">
        <f>IFERROR(ROUNDUP(O217/(1-CONFIGURACION!$B$8),0),0)</f>
        <v>0</v>
      </c>
      <c r="AS217" s="43"/>
      <c r="AT217" s="30">
        <f t="shared" si="21"/>
        <v>0</v>
      </c>
      <c r="AU217" s="18"/>
    </row>
    <row r="218" spans="1:47">
      <c r="A218" s="17"/>
      <c r="B218" s="17"/>
      <c r="C218" s="17"/>
      <c r="D218" s="17"/>
      <c r="E218" s="20">
        <f>IFERROR(SUMIF(RECETAS!$B:$B,B218,RECETAS!$H:$H),0)</f>
        <v>0</v>
      </c>
      <c r="F218" s="17"/>
      <c r="G218" s="17"/>
      <c r="H218" s="17"/>
      <c r="I218" s="17"/>
      <c r="J218" s="18">
        <f t="shared" si="17"/>
        <v>0</v>
      </c>
      <c r="K218" s="20">
        <f>IFERROR(CONFIGURACION!$B$5,0)</f>
        <v>4000</v>
      </c>
      <c r="L218" s="20">
        <f t="shared" si="18"/>
        <v>0</v>
      </c>
      <c r="M218" s="42">
        <f>IFERROR(CONFIGURACION!$B$9,0)</f>
        <v>0.15</v>
      </c>
      <c r="N218" s="20">
        <f t="shared" si="19"/>
        <v>0</v>
      </c>
      <c r="AO218" s="26">
        <f t="shared" si="20"/>
        <v>0</v>
      </c>
      <c r="AP218" s="20">
        <f>IFERROR(ROUNDUP(O218/(1-CONFIGURACION!$B$6),0),0)</f>
        <v>0</v>
      </c>
      <c r="AQ218" s="26">
        <f>IFERROR(ROUNDUP(O218/(1-CONFIGURACION!$B$7),0),0)</f>
        <v>0</v>
      </c>
      <c r="AR218" s="20">
        <f>IFERROR(ROUNDUP(O218/(1-CONFIGURACION!$B$8),0),0)</f>
        <v>0</v>
      </c>
      <c r="AS218" s="43"/>
      <c r="AT218" s="30">
        <f t="shared" si="21"/>
        <v>0</v>
      </c>
      <c r="AU218" s="18"/>
    </row>
    <row r="219" spans="1:47">
      <c r="A219" s="17"/>
      <c r="B219" s="17"/>
      <c r="C219" s="17"/>
      <c r="D219" s="17"/>
      <c r="E219" s="20">
        <f>IFERROR(SUMIF(RECETAS!$B:$B,B219,RECETAS!$H:$H),0)</f>
        <v>0</v>
      </c>
      <c r="F219" s="17"/>
      <c r="G219" s="17"/>
      <c r="H219" s="17"/>
      <c r="I219" s="17"/>
      <c r="J219" s="18">
        <f t="shared" si="17"/>
        <v>0</v>
      </c>
      <c r="K219" s="20">
        <f>IFERROR(CONFIGURACION!$B$5,0)</f>
        <v>4000</v>
      </c>
      <c r="L219" s="20">
        <f t="shared" si="18"/>
        <v>0</v>
      </c>
      <c r="M219" s="42">
        <f>IFERROR(CONFIGURACION!$B$9,0)</f>
        <v>0.15</v>
      </c>
      <c r="N219" s="20">
        <f t="shared" si="19"/>
        <v>0</v>
      </c>
      <c r="AO219" s="26">
        <f t="shared" si="20"/>
        <v>0</v>
      </c>
      <c r="AP219" s="20">
        <f>IFERROR(ROUNDUP(O219/(1-CONFIGURACION!$B$6),0),0)</f>
        <v>0</v>
      </c>
      <c r="AQ219" s="26">
        <f>IFERROR(ROUNDUP(O219/(1-CONFIGURACION!$B$7),0),0)</f>
        <v>0</v>
      </c>
      <c r="AR219" s="20">
        <f>IFERROR(ROUNDUP(O219/(1-CONFIGURACION!$B$8),0),0)</f>
        <v>0</v>
      </c>
      <c r="AS219" s="43"/>
      <c r="AT219" s="30">
        <f t="shared" si="21"/>
        <v>0</v>
      </c>
      <c r="AU219" s="18"/>
    </row>
    <row r="220" spans="1:47">
      <c r="A220" s="17"/>
      <c r="B220" s="17"/>
      <c r="C220" s="17"/>
      <c r="D220" s="17"/>
      <c r="E220" s="20">
        <f>IFERROR(SUMIF(RECETAS!$B:$B,B220,RECETAS!$H:$H),0)</f>
        <v>0</v>
      </c>
      <c r="F220" s="17"/>
      <c r="G220" s="17"/>
      <c r="H220" s="17"/>
      <c r="I220" s="17"/>
      <c r="J220" s="18">
        <f t="shared" si="17"/>
        <v>0</v>
      </c>
      <c r="K220" s="20">
        <f>IFERROR(CONFIGURACION!$B$5,0)</f>
        <v>4000</v>
      </c>
      <c r="L220" s="20">
        <f t="shared" si="18"/>
        <v>0</v>
      </c>
      <c r="M220" s="42">
        <f>IFERROR(CONFIGURACION!$B$9,0)</f>
        <v>0.15</v>
      </c>
      <c r="N220" s="20">
        <f t="shared" si="19"/>
        <v>0</v>
      </c>
      <c r="AO220" s="26">
        <f t="shared" si="20"/>
        <v>0</v>
      </c>
      <c r="AP220" s="20">
        <f>IFERROR(ROUNDUP(O220/(1-CONFIGURACION!$B$6),0),0)</f>
        <v>0</v>
      </c>
      <c r="AQ220" s="26">
        <f>IFERROR(ROUNDUP(O220/(1-CONFIGURACION!$B$7),0),0)</f>
        <v>0</v>
      </c>
      <c r="AR220" s="20">
        <f>IFERROR(ROUNDUP(O220/(1-CONFIGURACION!$B$8),0),0)</f>
        <v>0</v>
      </c>
      <c r="AS220" s="43"/>
      <c r="AT220" s="30">
        <f t="shared" si="21"/>
        <v>0</v>
      </c>
      <c r="AU220" s="18"/>
    </row>
    <row r="221" spans="1:47">
      <c r="A221" s="17"/>
      <c r="B221" s="17"/>
      <c r="C221" s="17"/>
      <c r="D221" s="17"/>
      <c r="E221" s="20">
        <f>IFERROR(SUMIF(RECETAS!$B:$B,B221,RECETAS!$H:$H),0)</f>
        <v>0</v>
      </c>
      <c r="F221" s="17"/>
      <c r="G221" s="17"/>
      <c r="H221" s="17"/>
      <c r="I221" s="17"/>
      <c r="J221" s="18">
        <f t="shared" si="17"/>
        <v>0</v>
      </c>
      <c r="K221" s="20">
        <f>IFERROR(CONFIGURACION!$B$5,0)</f>
        <v>4000</v>
      </c>
      <c r="L221" s="20">
        <f t="shared" si="18"/>
        <v>0</v>
      </c>
      <c r="M221" s="42">
        <f>IFERROR(CONFIGURACION!$B$9,0)</f>
        <v>0.15</v>
      </c>
      <c r="N221" s="20">
        <f t="shared" si="19"/>
        <v>0</v>
      </c>
      <c r="AO221" s="26">
        <f t="shared" si="20"/>
        <v>0</v>
      </c>
      <c r="AP221" s="20">
        <f>IFERROR(ROUNDUP(O221/(1-CONFIGURACION!$B$6),0),0)</f>
        <v>0</v>
      </c>
      <c r="AQ221" s="26">
        <f>IFERROR(ROUNDUP(O221/(1-CONFIGURACION!$B$7),0),0)</f>
        <v>0</v>
      </c>
      <c r="AR221" s="20">
        <f>IFERROR(ROUNDUP(O221/(1-CONFIGURACION!$B$8),0),0)</f>
        <v>0</v>
      </c>
      <c r="AS221" s="43"/>
      <c r="AT221" s="30">
        <f t="shared" si="21"/>
        <v>0</v>
      </c>
      <c r="AU221" s="18"/>
    </row>
    <row r="222" spans="1:47">
      <c r="A222" s="17"/>
      <c r="B222" s="17"/>
      <c r="C222" s="17"/>
      <c r="D222" s="17"/>
      <c r="E222" s="20">
        <f>IFERROR(SUMIF(RECETAS!$B:$B,B222,RECETAS!$H:$H),0)</f>
        <v>0</v>
      </c>
      <c r="F222" s="17"/>
      <c r="G222" s="17"/>
      <c r="H222" s="17"/>
      <c r="I222" s="17"/>
      <c r="J222" s="18">
        <f t="shared" si="17"/>
        <v>0</v>
      </c>
      <c r="K222" s="20">
        <f>IFERROR(CONFIGURACION!$B$5,0)</f>
        <v>4000</v>
      </c>
      <c r="L222" s="20">
        <f t="shared" si="18"/>
        <v>0</v>
      </c>
      <c r="M222" s="42">
        <f>IFERROR(CONFIGURACION!$B$9,0)</f>
        <v>0.15</v>
      </c>
      <c r="N222" s="20">
        <f t="shared" si="19"/>
        <v>0</v>
      </c>
      <c r="AO222" s="26">
        <f t="shared" si="20"/>
        <v>0</v>
      </c>
      <c r="AP222" s="20">
        <f>IFERROR(ROUNDUP(O222/(1-CONFIGURACION!$B$6),0),0)</f>
        <v>0</v>
      </c>
      <c r="AQ222" s="26">
        <f>IFERROR(ROUNDUP(O222/(1-CONFIGURACION!$B$7),0),0)</f>
        <v>0</v>
      </c>
      <c r="AR222" s="20">
        <f>IFERROR(ROUNDUP(O222/(1-CONFIGURACION!$B$8),0),0)</f>
        <v>0</v>
      </c>
      <c r="AS222" s="43"/>
      <c r="AT222" s="30">
        <f t="shared" si="21"/>
        <v>0</v>
      </c>
      <c r="AU222" s="18"/>
    </row>
    <row r="223" spans="1:47">
      <c r="A223" s="17"/>
      <c r="B223" s="17"/>
      <c r="C223" s="17"/>
      <c r="D223" s="17"/>
      <c r="E223" s="20">
        <f>IFERROR(SUMIF(RECETAS!$B:$B,B223,RECETAS!$H:$H),0)</f>
        <v>0</v>
      </c>
      <c r="F223" s="17"/>
      <c r="G223" s="17"/>
      <c r="H223" s="17"/>
      <c r="I223" s="17"/>
      <c r="J223" s="18">
        <f t="shared" si="17"/>
        <v>0</v>
      </c>
      <c r="K223" s="20">
        <f>IFERROR(CONFIGURACION!$B$5,0)</f>
        <v>4000</v>
      </c>
      <c r="L223" s="20">
        <f t="shared" si="18"/>
        <v>0</v>
      </c>
      <c r="M223" s="42">
        <f>IFERROR(CONFIGURACION!$B$9,0)</f>
        <v>0.15</v>
      </c>
      <c r="N223" s="20">
        <f t="shared" si="19"/>
        <v>0</v>
      </c>
      <c r="AO223" s="26">
        <f t="shared" si="20"/>
        <v>0</v>
      </c>
      <c r="AP223" s="20">
        <f>IFERROR(ROUNDUP(O223/(1-CONFIGURACION!$B$6),0),0)</f>
        <v>0</v>
      </c>
      <c r="AQ223" s="26">
        <f>IFERROR(ROUNDUP(O223/(1-CONFIGURACION!$B$7),0),0)</f>
        <v>0</v>
      </c>
      <c r="AR223" s="20">
        <f>IFERROR(ROUNDUP(O223/(1-CONFIGURACION!$B$8),0),0)</f>
        <v>0</v>
      </c>
      <c r="AS223" s="43"/>
      <c r="AT223" s="30">
        <f t="shared" si="21"/>
        <v>0</v>
      </c>
      <c r="AU223" s="18"/>
    </row>
    <row r="224" spans="1:47">
      <c r="A224" s="17"/>
      <c r="B224" s="17"/>
      <c r="C224" s="17"/>
      <c r="D224" s="17"/>
      <c r="E224" s="20">
        <f>IFERROR(SUMIF(RECETAS!$B:$B,B224,RECETAS!$H:$H),0)</f>
        <v>0</v>
      </c>
      <c r="F224" s="17"/>
      <c r="G224" s="17"/>
      <c r="H224" s="17"/>
      <c r="I224" s="17"/>
      <c r="J224" s="18">
        <f t="shared" si="17"/>
        <v>0</v>
      </c>
      <c r="K224" s="20">
        <f>IFERROR(CONFIGURACION!$B$5,0)</f>
        <v>4000</v>
      </c>
      <c r="L224" s="20">
        <f t="shared" si="18"/>
        <v>0</v>
      </c>
      <c r="M224" s="42">
        <f>IFERROR(CONFIGURACION!$B$9,0)</f>
        <v>0.15</v>
      </c>
      <c r="N224" s="20">
        <f t="shared" si="19"/>
        <v>0</v>
      </c>
      <c r="AO224" s="26">
        <f t="shared" si="20"/>
        <v>0</v>
      </c>
      <c r="AP224" s="20">
        <f>IFERROR(ROUNDUP(O224/(1-CONFIGURACION!$B$6),0),0)</f>
        <v>0</v>
      </c>
      <c r="AQ224" s="26">
        <f>IFERROR(ROUNDUP(O224/(1-CONFIGURACION!$B$7),0),0)</f>
        <v>0</v>
      </c>
      <c r="AR224" s="20">
        <f>IFERROR(ROUNDUP(O224/(1-CONFIGURACION!$B$8),0),0)</f>
        <v>0</v>
      </c>
      <c r="AS224" s="43"/>
      <c r="AT224" s="30">
        <f t="shared" si="21"/>
        <v>0</v>
      </c>
      <c r="AU224" s="18"/>
    </row>
    <row r="225" spans="1:47">
      <c r="A225" s="17"/>
      <c r="B225" s="17"/>
      <c r="C225" s="17"/>
      <c r="D225" s="17"/>
      <c r="E225" s="20">
        <f>IFERROR(SUMIF(RECETAS!$B:$B,B225,RECETAS!$H:$H),0)</f>
        <v>0</v>
      </c>
      <c r="F225" s="17"/>
      <c r="G225" s="17"/>
      <c r="H225" s="17"/>
      <c r="I225" s="17"/>
      <c r="J225" s="18">
        <f t="shared" si="17"/>
        <v>0</v>
      </c>
      <c r="K225" s="20">
        <f>IFERROR(CONFIGURACION!$B$5,0)</f>
        <v>4000</v>
      </c>
      <c r="L225" s="20">
        <f t="shared" si="18"/>
        <v>0</v>
      </c>
      <c r="M225" s="42">
        <f>IFERROR(CONFIGURACION!$B$9,0)</f>
        <v>0.15</v>
      </c>
      <c r="N225" s="20">
        <f t="shared" si="19"/>
        <v>0</v>
      </c>
      <c r="AO225" s="26">
        <f t="shared" si="20"/>
        <v>0</v>
      </c>
      <c r="AP225" s="20">
        <f>IFERROR(ROUNDUP(O225/(1-CONFIGURACION!$B$6),0),0)</f>
        <v>0</v>
      </c>
      <c r="AQ225" s="26">
        <f>IFERROR(ROUNDUP(O225/(1-CONFIGURACION!$B$7),0),0)</f>
        <v>0</v>
      </c>
      <c r="AR225" s="20">
        <f>IFERROR(ROUNDUP(O225/(1-CONFIGURACION!$B$8),0),0)</f>
        <v>0</v>
      </c>
      <c r="AS225" s="43"/>
      <c r="AT225" s="30">
        <f t="shared" si="21"/>
        <v>0</v>
      </c>
      <c r="AU225" s="18"/>
    </row>
    <row r="226" spans="1:47">
      <c r="A226" s="17"/>
      <c r="B226" s="17"/>
      <c r="C226" s="17"/>
      <c r="D226" s="17"/>
      <c r="E226" s="20">
        <f>IFERROR(SUMIF(RECETAS!$B:$B,B226,RECETAS!$H:$H),0)</f>
        <v>0</v>
      </c>
      <c r="F226" s="17"/>
      <c r="G226" s="17"/>
      <c r="H226" s="17"/>
      <c r="I226" s="17"/>
      <c r="J226" s="18">
        <f t="shared" si="17"/>
        <v>0</v>
      </c>
      <c r="K226" s="20">
        <f>IFERROR(CONFIGURACION!$B$5,0)</f>
        <v>4000</v>
      </c>
      <c r="L226" s="20">
        <f t="shared" si="18"/>
        <v>0</v>
      </c>
      <c r="M226" s="42">
        <f>IFERROR(CONFIGURACION!$B$9,0)</f>
        <v>0.15</v>
      </c>
      <c r="N226" s="20">
        <f t="shared" si="19"/>
        <v>0</v>
      </c>
      <c r="AO226" s="26">
        <f t="shared" si="20"/>
        <v>0</v>
      </c>
      <c r="AP226" s="20">
        <f>IFERROR(ROUNDUP(O226/(1-CONFIGURACION!$B$6),0),0)</f>
        <v>0</v>
      </c>
      <c r="AQ226" s="26">
        <f>IFERROR(ROUNDUP(O226/(1-CONFIGURACION!$B$7),0),0)</f>
        <v>0</v>
      </c>
      <c r="AR226" s="20">
        <f>IFERROR(ROUNDUP(O226/(1-CONFIGURACION!$B$8),0),0)</f>
        <v>0</v>
      </c>
      <c r="AS226" s="43"/>
      <c r="AT226" s="30">
        <f t="shared" si="21"/>
        <v>0</v>
      </c>
      <c r="AU226" s="18"/>
    </row>
    <row r="227" spans="1:47">
      <c r="A227" s="17"/>
      <c r="B227" s="17"/>
      <c r="C227" s="17"/>
      <c r="D227" s="17"/>
      <c r="E227" s="20">
        <f>IFERROR(SUMIF(RECETAS!$B:$B,B227,RECETAS!$H:$H),0)</f>
        <v>0</v>
      </c>
      <c r="F227" s="17"/>
      <c r="G227" s="17"/>
      <c r="H227" s="17"/>
      <c r="I227" s="17"/>
      <c r="J227" s="18">
        <f t="shared" si="17"/>
        <v>0</v>
      </c>
      <c r="K227" s="20">
        <f>IFERROR(CONFIGURACION!$B$5,0)</f>
        <v>4000</v>
      </c>
      <c r="L227" s="20">
        <f t="shared" si="18"/>
        <v>0</v>
      </c>
      <c r="M227" s="42">
        <f>IFERROR(CONFIGURACION!$B$9,0)</f>
        <v>0.15</v>
      </c>
      <c r="N227" s="20">
        <f t="shared" si="19"/>
        <v>0</v>
      </c>
      <c r="AO227" s="26">
        <f t="shared" si="20"/>
        <v>0</v>
      </c>
      <c r="AP227" s="20">
        <f>IFERROR(ROUNDUP(O227/(1-CONFIGURACION!$B$6),0),0)</f>
        <v>0</v>
      </c>
      <c r="AQ227" s="26">
        <f>IFERROR(ROUNDUP(O227/(1-CONFIGURACION!$B$7),0),0)</f>
        <v>0</v>
      </c>
      <c r="AR227" s="20">
        <f>IFERROR(ROUNDUP(O227/(1-CONFIGURACION!$B$8),0),0)</f>
        <v>0</v>
      </c>
      <c r="AS227" s="43"/>
      <c r="AT227" s="30">
        <f t="shared" si="21"/>
        <v>0</v>
      </c>
      <c r="AU227" s="18"/>
    </row>
    <row r="228" spans="1:47">
      <c r="A228" s="17"/>
      <c r="B228" s="17"/>
      <c r="C228" s="17"/>
      <c r="D228" s="17"/>
      <c r="E228" s="20">
        <f>IFERROR(SUMIF(RECETAS!$B:$B,B228,RECETAS!$H:$H),0)</f>
        <v>0</v>
      </c>
      <c r="F228" s="17"/>
      <c r="G228" s="17"/>
      <c r="H228" s="17"/>
      <c r="I228" s="17"/>
      <c r="J228" s="18">
        <f t="shared" si="17"/>
        <v>0</v>
      </c>
      <c r="K228" s="20">
        <f>IFERROR(CONFIGURACION!$B$5,0)</f>
        <v>4000</v>
      </c>
      <c r="L228" s="20">
        <f t="shared" si="18"/>
        <v>0</v>
      </c>
      <c r="M228" s="42">
        <f>IFERROR(CONFIGURACION!$B$9,0)</f>
        <v>0.15</v>
      </c>
      <c r="N228" s="20">
        <f t="shared" si="19"/>
        <v>0</v>
      </c>
      <c r="AO228" s="26">
        <f t="shared" si="20"/>
        <v>0</v>
      </c>
      <c r="AP228" s="20">
        <f>IFERROR(ROUNDUP(O228/(1-CONFIGURACION!$B$6),0),0)</f>
        <v>0</v>
      </c>
      <c r="AQ228" s="26">
        <f>IFERROR(ROUNDUP(O228/(1-CONFIGURACION!$B$7),0),0)</f>
        <v>0</v>
      </c>
      <c r="AR228" s="20">
        <f>IFERROR(ROUNDUP(O228/(1-CONFIGURACION!$B$8),0),0)</f>
        <v>0</v>
      </c>
      <c r="AS228" s="43"/>
      <c r="AT228" s="30">
        <f t="shared" si="21"/>
        <v>0</v>
      </c>
      <c r="AU228" s="18"/>
    </row>
    <row r="229" spans="1:47">
      <c r="A229" s="17"/>
      <c r="B229" s="17"/>
      <c r="C229" s="17"/>
      <c r="D229" s="17"/>
      <c r="E229" s="20">
        <f>IFERROR(SUMIF(RECETAS!$B:$B,B229,RECETAS!$H:$H),0)</f>
        <v>0</v>
      </c>
      <c r="F229" s="17"/>
      <c r="G229" s="17"/>
      <c r="H229" s="17"/>
      <c r="I229" s="17"/>
      <c r="J229" s="18">
        <f t="shared" si="17"/>
        <v>0</v>
      </c>
      <c r="K229" s="20">
        <f>IFERROR(CONFIGURACION!$B$5,0)</f>
        <v>4000</v>
      </c>
      <c r="L229" s="20">
        <f t="shared" si="18"/>
        <v>0</v>
      </c>
      <c r="M229" s="42">
        <f>IFERROR(CONFIGURACION!$B$9,0)</f>
        <v>0.15</v>
      </c>
      <c r="N229" s="20">
        <f t="shared" si="19"/>
        <v>0</v>
      </c>
      <c r="AO229" s="26">
        <f t="shared" si="20"/>
        <v>0</v>
      </c>
      <c r="AP229" s="20">
        <f>IFERROR(ROUNDUP(O229/(1-CONFIGURACION!$B$6),0),0)</f>
        <v>0</v>
      </c>
      <c r="AQ229" s="26">
        <f>IFERROR(ROUNDUP(O229/(1-CONFIGURACION!$B$7),0),0)</f>
        <v>0</v>
      </c>
      <c r="AR229" s="20">
        <f>IFERROR(ROUNDUP(O229/(1-CONFIGURACION!$B$8),0),0)</f>
        <v>0</v>
      </c>
      <c r="AS229" s="43"/>
      <c r="AT229" s="30">
        <f t="shared" si="21"/>
        <v>0</v>
      </c>
      <c r="AU229" s="18"/>
    </row>
    <row r="230" spans="1:47">
      <c r="A230" s="17"/>
      <c r="B230" s="17"/>
      <c r="C230" s="17"/>
      <c r="D230" s="17"/>
      <c r="E230" s="20">
        <f>IFERROR(SUMIF(RECETAS!$B:$B,B230,RECETAS!$H:$H),0)</f>
        <v>0</v>
      </c>
      <c r="F230" s="17"/>
      <c r="G230" s="17"/>
      <c r="H230" s="17"/>
      <c r="I230" s="17"/>
      <c r="J230" s="18">
        <f t="shared" si="17"/>
        <v>0</v>
      </c>
      <c r="K230" s="20">
        <f>IFERROR(CONFIGURACION!$B$5,0)</f>
        <v>4000</v>
      </c>
      <c r="L230" s="20">
        <f t="shared" si="18"/>
        <v>0</v>
      </c>
      <c r="M230" s="42">
        <f>IFERROR(CONFIGURACION!$B$9,0)</f>
        <v>0.15</v>
      </c>
      <c r="N230" s="20">
        <f t="shared" si="19"/>
        <v>0</v>
      </c>
      <c r="AO230" s="26">
        <f t="shared" si="20"/>
        <v>0</v>
      </c>
      <c r="AP230" s="20">
        <f>IFERROR(ROUNDUP(O230/(1-CONFIGURACION!$B$6),0),0)</f>
        <v>0</v>
      </c>
      <c r="AQ230" s="26">
        <f>IFERROR(ROUNDUP(O230/(1-CONFIGURACION!$B$7),0),0)</f>
        <v>0</v>
      </c>
      <c r="AR230" s="20">
        <f>IFERROR(ROUNDUP(O230/(1-CONFIGURACION!$B$8),0),0)</f>
        <v>0</v>
      </c>
      <c r="AS230" s="43"/>
      <c r="AT230" s="30">
        <f t="shared" si="21"/>
        <v>0</v>
      </c>
      <c r="AU230" s="18"/>
    </row>
    <row r="231" spans="1:47">
      <c r="A231" s="17"/>
      <c r="B231" s="17"/>
      <c r="C231" s="17"/>
      <c r="D231" s="17"/>
      <c r="E231" s="20">
        <f>IFERROR(SUMIF(RECETAS!$B:$B,B231,RECETAS!$H:$H),0)</f>
        <v>0</v>
      </c>
      <c r="F231" s="17"/>
      <c r="G231" s="17"/>
      <c r="H231" s="17"/>
      <c r="I231" s="17"/>
      <c r="J231" s="18">
        <f t="shared" si="17"/>
        <v>0</v>
      </c>
      <c r="K231" s="20">
        <f>IFERROR(CONFIGURACION!$B$5,0)</f>
        <v>4000</v>
      </c>
      <c r="L231" s="20">
        <f t="shared" si="18"/>
        <v>0</v>
      </c>
      <c r="M231" s="42">
        <f>IFERROR(CONFIGURACION!$B$9,0)</f>
        <v>0.15</v>
      </c>
      <c r="N231" s="20">
        <f t="shared" si="19"/>
        <v>0</v>
      </c>
      <c r="AO231" s="26">
        <f t="shared" si="20"/>
        <v>0</v>
      </c>
      <c r="AP231" s="20">
        <f>IFERROR(ROUNDUP(O231/(1-CONFIGURACION!$B$6),0),0)</f>
        <v>0</v>
      </c>
      <c r="AQ231" s="26">
        <f>IFERROR(ROUNDUP(O231/(1-CONFIGURACION!$B$7),0),0)</f>
        <v>0</v>
      </c>
      <c r="AR231" s="20">
        <f>IFERROR(ROUNDUP(O231/(1-CONFIGURACION!$B$8),0),0)</f>
        <v>0</v>
      </c>
      <c r="AS231" s="43"/>
      <c r="AT231" s="30">
        <f t="shared" si="21"/>
        <v>0</v>
      </c>
      <c r="AU231" s="18"/>
    </row>
    <row r="232" spans="1:47">
      <c r="A232" s="17"/>
      <c r="B232" s="17"/>
      <c r="C232" s="17"/>
      <c r="D232" s="17"/>
      <c r="E232" s="20">
        <f>IFERROR(SUMIF(RECETAS!$B:$B,B232,RECETAS!$H:$H),0)</f>
        <v>0</v>
      </c>
      <c r="F232" s="17"/>
      <c r="G232" s="17"/>
      <c r="H232" s="17"/>
      <c r="I232" s="17"/>
      <c r="J232" s="18">
        <f t="shared" si="17"/>
        <v>0</v>
      </c>
      <c r="K232" s="20">
        <f>IFERROR(CONFIGURACION!$B$5,0)</f>
        <v>4000</v>
      </c>
      <c r="L232" s="20">
        <f t="shared" si="18"/>
        <v>0</v>
      </c>
      <c r="M232" s="42">
        <f>IFERROR(CONFIGURACION!$B$9,0)</f>
        <v>0.15</v>
      </c>
      <c r="N232" s="20">
        <f t="shared" si="19"/>
        <v>0</v>
      </c>
      <c r="AO232" s="26">
        <f t="shared" si="20"/>
        <v>0</v>
      </c>
      <c r="AP232" s="20">
        <f>IFERROR(ROUNDUP(O232/(1-CONFIGURACION!$B$6),0),0)</f>
        <v>0</v>
      </c>
      <c r="AQ232" s="26">
        <f>IFERROR(ROUNDUP(O232/(1-CONFIGURACION!$B$7),0),0)</f>
        <v>0</v>
      </c>
      <c r="AR232" s="20">
        <f>IFERROR(ROUNDUP(O232/(1-CONFIGURACION!$B$8),0),0)</f>
        <v>0</v>
      </c>
      <c r="AS232" s="43"/>
      <c r="AT232" s="30">
        <f t="shared" si="21"/>
        <v>0</v>
      </c>
      <c r="AU232" s="18"/>
    </row>
    <row r="233" spans="1:47">
      <c r="A233" s="17"/>
      <c r="B233" s="17"/>
      <c r="C233" s="17"/>
      <c r="D233" s="17"/>
      <c r="E233" s="20">
        <f>IFERROR(SUMIF(RECETAS!$B:$B,B233,RECETAS!$H:$H),0)</f>
        <v>0</v>
      </c>
      <c r="F233" s="17"/>
      <c r="G233" s="17"/>
      <c r="H233" s="17"/>
      <c r="I233" s="17"/>
      <c r="J233" s="18">
        <f t="shared" si="17"/>
        <v>0</v>
      </c>
      <c r="K233" s="20">
        <f>IFERROR(CONFIGURACION!$B$5,0)</f>
        <v>4000</v>
      </c>
      <c r="L233" s="20">
        <f t="shared" si="18"/>
        <v>0</v>
      </c>
      <c r="M233" s="42">
        <f>IFERROR(CONFIGURACION!$B$9,0)</f>
        <v>0.15</v>
      </c>
      <c r="N233" s="20">
        <f t="shared" si="19"/>
        <v>0</v>
      </c>
      <c r="AO233" s="26">
        <f t="shared" si="20"/>
        <v>0</v>
      </c>
      <c r="AP233" s="20">
        <f>IFERROR(ROUNDUP(O233/(1-CONFIGURACION!$B$6),0),0)</f>
        <v>0</v>
      </c>
      <c r="AQ233" s="26">
        <f>IFERROR(ROUNDUP(O233/(1-CONFIGURACION!$B$7),0),0)</f>
        <v>0</v>
      </c>
      <c r="AR233" s="20">
        <f>IFERROR(ROUNDUP(O233/(1-CONFIGURACION!$B$8),0),0)</f>
        <v>0</v>
      </c>
      <c r="AS233" s="43"/>
      <c r="AT233" s="30">
        <f t="shared" si="21"/>
        <v>0</v>
      </c>
      <c r="AU233" s="18"/>
    </row>
    <row r="234" spans="1:47">
      <c r="A234" s="17"/>
      <c r="B234" s="17"/>
      <c r="C234" s="17"/>
      <c r="D234" s="17"/>
      <c r="E234" s="20">
        <f>IFERROR(SUMIF(RECETAS!$B:$B,B234,RECETAS!$H:$H),0)</f>
        <v>0</v>
      </c>
      <c r="F234" s="17"/>
      <c r="G234" s="17"/>
      <c r="H234" s="17"/>
      <c r="I234" s="17"/>
      <c r="J234" s="18">
        <f t="shared" si="17"/>
        <v>0</v>
      </c>
      <c r="K234" s="20">
        <f>IFERROR(CONFIGURACION!$B$5,0)</f>
        <v>4000</v>
      </c>
      <c r="L234" s="20">
        <f t="shared" si="18"/>
        <v>0</v>
      </c>
      <c r="M234" s="42">
        <f>IFERROR(CONFIGURACION!$B$9,0)</f>
        <v>0.15</v>
      </c>
      <c r="N234" s="20">
        <f t="shared" si="19"/>
        <v>0</v>
      </c>
      <c r="AO234" s="26">
        <f t="shared" si="20"/>
        <v>0</v>
      </c>
      <c r="AP234" s="20">
        <f>IFERROR(ROUNDUP(O234/(1-CONFIGURACION!$B$6),0),0)</f>
        <v>0</v>
      </c>
      <c r="AQ234" s="26">
        <f>IFERROR(ROUNDUP(O234/(1-CONFIGURACION!$B$7),0),0)</f>
        <v>0</v>
      </c>
      <c r="AR234" s="20">
        <f>IFERROR(ROUNDUP(O234/(1-CONFIGURACION!$B$8),0),0)</f>
        <v>0</v>
      </c>
      <c r="AS234" s="43"/>
      <c r="AT234" s="30">
        <f t="shared" si="21"/>
        <v>0</v>
      </c>
      <c r="AU234" s="18"/>
    </row>
    <row r="235" spans="1:47">
      <c r="A235" s="17"/>
      <c r="B235" s="17"/>
      <c r="C235" s="17"/>
      <c r="D235" s="17"/>
      <c r="E235" s="20">
        <f>IFERROR(SUMIF(RECETAS!$B:$B,B235,RECETAS!$H:$H),0)</f>
        <v>0</v>
      </c>
      <c r="F235" s="17"/>
      <c r="G235" s="17"/>
      <c r="H235" s="17"/>
      <c r="I235" s="17"/>
      <c r="J235" s="18">
        <f t="shared" si="17"/>
        <v>0</v>
      </c>
      <c r="K235" s="20">
        <f>IFERROR(CONFIGURACION!$B$5,0)</f>
        <v>4000</v>
      </c>
      <c r="L235" s="20">
        <f t="shared" si="18"/>
        <v>0</v>
      </c>
      <c r="M235" s="42">
        <f>IFERROR(CONFIGURACION!$B$9,0)</f>
        <v>0.15</v>
      </c>
      <c r="N235" s="20">
        <f t="shared" si="19"/>
        <v>0</v>
      </c>
      <c r="AO235" s="26">
        <f t="shared" si="20"/>
        <v>0</v>
      </c>
      <c r="AP235" s="20">
        <f>IFERROR(ROUNDUP(O235/(1-CONFIGURACION!$B$6),0),0)</f>
        <v>0</v>
      </c>
      <c r="AQ235" s="26">
        <f>IFERROR(ROUNDUP(O235/(1-CONFIGURACION!$B$7),0),0)</f>
        <v>0</v>
      </c>
      <c r="AR235" s="20">
        <f>IFERROR(ROUNDUP(O235/(1-CONFIGURACION!$B$8),0),0)</f>
        <v>0</v>
      </c>
      <c r="AS235" s="43"/>
      <c r="AT235" s="30">
        <f t="shared" si="21"/>
        <v>0</v>
      </c>
      <c r="AU235" s="18"/>
    </row>
    <row r="236" spans="1:47">
      <c r="A236" s="17"/>
      <c r="B236" s="17"/>
      <c r="C236" s="17"/>
      <c r="D236" s="17"/>
      <c r="E236" s="20">
        <f>IFERROR(SUMIF(RECETAS!$B:$B,B236,RECETAS!$H:$H),0)</f>
        <v>0</v>
      </c>
      <c r="F236" s="17"/>
      <c r="G236" s="17"/>
      <c r="H236" s="17"/>
      <c r="I236" s="17"/>
      <c r="J236" s="18">
        <f t="shared" si="17"/>
        <v>0</v>
      </c>
      <c r="K236" s="20">
        <f>IFERROR(CONFIGURACION!$B$5,0)</f>
        <v>4000</v>
      </c>
      <c r="L236" s="20">
        <f t="shared" si="18"/>
        <v>0</v>
      </c>
      <c r="M236" s="42">
        <f>IFERROR(CONFIGURACION!$B$9,0)</f>
        <v>0.15</v>
      </c>
      <c r="N236" s="20">
        <f t="shared" si="19"/>
        <v>0</v>
      </c>
      <c r="AO236" s="26">
        <f t="shared" si="20"/>
        <v>0</v>
      </c>
      <c r="AP236" s="20">
        <f>IFERROR(ROUNDUP(O236/(1-CONFIGURACION!$B$6),0),0)</f>
        <v>0</v>
      </c>
      <c r="AQ236" s="26">
        <f>IFERROR(ROUNDUP(O236/(1-CONFIGURACION!$B$7),0),0)</f>
        <v>0</v>
      </c>
      <c r="AR236" s="20">
        <f>IFERROR(ROUNDUP(O236/(1-CONFIGURACION!$B$8),0),0)</f>
        <v>0</v>
      </c>
      <c r="AS236" s="43"/>
      <c r="AT236" s="30">
        <f t="shared" si="21"/>
        <v>0</v>
      </c>
      <c r="AU236" s="18"/>
    </row>
    <row r="237" spans="1:47">
      <c r="A237" s="17"/>
      <c r="B237" s="17"/>
      <c r="C237" s="17"/>
      <c r="D237" s="17"/>
      <c r="E237" s="20">
        <f>IFERROR(SUMIF(RECETAS!$B:$B,B237,RECETAS!$H:$H),0)</f>
        <v>0</v>
      </c>
      <c r="F237" s="17"/>
      <c r="G237" s="17"/>
      <c r="H237" s="17"/>
      <c r="I237" s="17"/>
      <c r="J237" s="18">
        <f t="shared" si="17"/>
        <v>0</v>
      </c>
      <c r="K237" s="20">
        <f>IFERROR(CONFIGURACION!$B$5,0)</f>
        <v>4000</v>
      </c>
      <c r="L237" s="20">
        <f t="shared" si="18"/>
        <v>0</v>
      </c>
      <c r="M237" s="42">
        <f>IFERROR(CONFIGURACION!$B$9,0)</f>
        <v>0.15</v>
      </c>
      <c r="N237" s="20">
        <f t="shared" si="19"/>
        <v>0</v>
      </c>
      <c r="AO237" s="26">
        <f t="shared" si="20"/>
        <v>0</v>
      </c>
      <c r="AP237" s="20">
        <f>IFERROR(ROUNDUP(O237/(1-CONFIGURACION!$B$6),0),0)</f>
        <v>0</v>
      </c>
      <c r="AQ237" s="26">
        <f>IFERROR(ROUNDUP(O237/(1-CONFIGURACION!$B$7),0),0)</f>
        <v>0</v>
      </c>
      <c r="AR237" s="20">
        <f>IFERROR(ROUNDUP(O237/(1-CONFIGURACION!$B$8),0),0)</f>
        <v>0</v>
      </c>
      <c r="AS237" s="43"/>
      <c r="AT237" s="30">
        <f t="shared" si="21"/>
        <v>0</v>
      </c>
      <c r="AU237" s="18"/>
    </row>
    <row r="238" spans="1:47">
      <c r="A238" s="17"/>
      <c r="B238" s="17"/>
      <c r="C238" s="17"/>
      <c r="D238" s="17"/>
      <c r="E238" s="20">
        <f>IFERROR(SUMIF(RECETAS!$B:$B,B238,RECETAS!$H:$H),0)</f>
        <v>0</v>
      </c>
      <c r="F238" s="17"/>
      <c r="G238" s="17"/>
      <c r="H238" s="17"/>
      <c r="I238" s="17"/>
      <c r="J238" s="18">
        <f t="shared" si="17"/>
        <v>0</v>
      </c>
      <c r="K238" s="20">
        <f>IFERROR(CONFIGURACION!$B$5,0)</f>
        <v>4000</v>
      </c>
      <c r="L238" s="20">
        <f t="shared" si="18"/>
        <v>0</v>
      </c>
      <c r="M238" s="42">
        <f>IFERROR(CONFIGURACION!$B$9,0)</f>
        <v>0.15</v>
      </c>
      <c r="N238" s="20">
        <f t="shared" si="19"/>
        <v>0</v>
      </c>
      <c r="AO238" s="26">
        <f t="shared" si="20"/>
        <v>0</v>
      </c>
      <c r="AP238" s="20">
        <f>IFERROR(ROUNDUP(O238/(1-CONFIGURACION!$B$6),0),0)</f>
        <v>0</v>
      </c>
      <c r="AQ238" s="26">
        <f>IFERROR(ROUNDUP(O238/(1-CONFIGURACION!$B$7),0),0)</f>
        <v>0</v>
      </c>
      <c r="AR238" s="20">
        <f>IFERROR(ROUNDUP(O238/(1-CONFIGURACION!$B$8),0),0)</f>
        <v>0</v>
      </c>
      <c r="AS238" s="43"/>
      <c r="AT238" s="30">
        <f t="shared" si="21"/>
        <v>0</v>
      </c>
      <c r="AU238" s="18"/>
    </row>
    <row r="239" spans="1:47">
      <c r="A239" s="17"/>
      <c r="B239" s="17"/>
      <c r="C239" s="17"/>
      <c r="D239" s="17"/>
      <c r="E239" s="20">
        <f>IFERROR(SUMIF(RECETAS!$B:$B,B239,RECETAS!$H:$H),0)</f>
        <v>0</v>
      </c>
      <c r="F239" s="17"/>
      <c r="G239" s="17"/>
      <c r="H239" s="17"/>
      <c r="I239" s="17"/>
      <c r="J239" s="18">
        <f t="shared" si="17"/>
        <v>0</v>
      </c>
      <c r="K239" s="20">
        <f>IFERROR(CONFIGURACION!$B$5,0)</f>
        <v>4000</v>
      </c>
      <c r="L239" s="20">
        <f t="shared" si="18"/>
        <v>0</v>
      </c>
      <c r="M239" s="42">
        <f>IFERROR(CONFIGURACION!$B$9,0)</f>
        <v>0.15</v>
      </c>
      <c r="N239" s="20">
        <f t="shared" si="19"/>
        <v>0</v>
      </c>
      <c r="AO239" s="26">
        <f t="shared" si="20"/>
        <v>0</v>
      </c>
      <c r="AP239" s="20">
        <f>IFERROR(ROUNDUP(O239/(1-CONFIGURACION!$B$6),0),0)</f>
        <v>0</v>
      </c>
      <c r="AQ239" s="26">
        <f>IFERROR(ROUNDUP(O239/(1-CONFIGURACION!$B$7),0),0)</f>
        <v>0</v>
      </c>
      <c r="AR239" s="20">
        <f>IFERROR(ROUNDUP(O239/(1-CONFIGURACION!$B$8),0),0)</f>
        <v>0</v>
      </c>
      <c r="AS239" s="43"/>
      <c r="AT239" s="30">
        <f t="shared" si="21"/>
        <v>0</v>
      </c>
      <c r="AU239" s="18"/>
    </row>
    <row r="240" spans="1:47">
      <c r="A240" s="17"/>
      <c r="B240" s="17"/>
      <c r="C240" s="17"/>
      <c r="D240" s="17"/>
      <c r="E240" s="20">
        <f>IFERROR(SUMIF(RECETAS!$B:$B,B240,RECETAS!$H:$H),0)</f>
        <v>0</v>
      </c>
      <c r="F240" s="17"/>
      <c r="G240" s="17"/>
      <c r="H240" s="17"/>
      <c r="I240" s="17"/>
      <c r="J240" s="18">
        <f t="shared" si="17"/>
        <v>0</v>
      </c>
      <c r="K240" s="20">
        <f>IFERROR(CONFIGURACION!$B$5,0)</f>
        <v>4000</v>
      </c>
      <c r="L240" s="20">
        <f t="shared" si="18"/>
        <v>0</v>
      </c>
      <c r="M240" s="42">
        <f>IFERROR(CONFIGURACION!$B$9,0)</f>
        <v>0.15</v>
      </c>
      <c r="N240" s="20">
        <f t="shared" si="19"/>
        <v>0</v>
      </c>
      <c r="AO240" s="26">
        <f t="shared" si="20"/>
        <v>0</v>
      </c>
      <c r="AP240" s="20">
        <f>IFERROR(ROUNDUP(O240/(1-CONFIGURACION!$B$6),0),0)</f>
        <v>0</v>
      </c>
      <c r="AQ240" s="26">
        <f>IFERROR(ROUNDUP(O240/(1-CONFIGURACION!$B$7),0),0)</f>
        <v>0</v>
      </c>
      <c r="AR240" s="20">
        <f>IFERROR(ROUNDUP(O240/(1-CONFIGURACION!$B$8),0),0)</f>
        <v>0</v>
      </c>
      <c r="AS240" s="43"/>
      <c r="AT240" s="30">
        <f t="shared" si="21"/>
        <v>0</v>
      </c>
      <c r="AU240" s="18"/>
    </row>
    <row r="241" spans="1:47">
      <c r="A241" s="17"/>
      <c r="B241" s="17"/>
      <c r="C241" s="17"/>
      <c r="D241" s="17"/>
      <c r="E241" s="20">
        <f>IFERROR(SUMIF(RECETAS!$B:$B,B241,RECETAS!$H:$H),0)</f>
        <v>0</v>
      </c>
      <c r="F241" s="17"/>
      <c r="G241" s="17"/>
      <c r="H241" s="17"/>
      <c r="I241" s="17"/>
      <c r="J241" s="18">
        <f t="shared" si="17"/>
        <v>0</v>
      </c>
      <c r="K241" s="20">
        <f>IFERROR(CONFIGURACION!$B$5,0)</f>
        <v>4000</v>
      </c>
      <c r="L241" s="20">
        <f t="shared" si="18"/>
        <v>0</v>
      </c>
      <c r="M241" s="42">
        <f>IFERROR(CONFIGURACION!$B$9,0)</f>
        <v>0.15</v>
      </c>
      <c r="N241" s="20">
        <f t="shared" si="19"/>
        <v>0</v>
      </c>
      <c r="AO241" s="26">
        <f t="shared" si="20"/>
        <v>0</v>
      </c>
      <c r="AP241" s="20">
        <f>IFERROR(ROUNDUP(O241/(1-CONFIGURACION!$B$6),0),0)</f>
        <v>0</v>
      </c>
      <c r="AQ241" s="26">
        <f>IFERROR(ROUNDUP(O241/(1-CONFIGURACION!$B$7),0),0)</f>
        <v>0</v>
      </c>
      <c r="AR241" s="20">
        <f>IFERROR(ROUNDUP(O241/(1-CONFIGURACION!$B$8),0),0)</f>
        <v>0</v>
      </c>
      <c r="AS241" s="43"/>
      <c r="AT241" s="30">
        <f t="shared" si="21"/>
        <v>0</v>
      </c>
      <c r="AU241" s="18"/>
    </row>
    <row r="242" spans="1:47">
      <c r="A242" s="17"/>
      <c r="B242" s="17"/>
      <c r="C242" s="17"/>
      <c r="D242" s="17"/>
      <c r="E242" s="20">
        <f>IFERROR(SUMIF(RECETAS!$B:$B,B242,RECETAS!$H:$H),0)</f>
        <v>0</v>
      </c>
      <c r="F242" s="17"/>
      <c r="G242" s="17"/>
      <c r="H242" s="17"/>
      <c r="I242" s="17"/>
      <c r="J242" s="18">
        <f t="shared" si="17"/>
        <v>0</v>
      </c>
      <c r="K242" s="20">
        <f>IFERROR(CONFIGURACION!$B$5,0)</f>
        <v>4000</v>
      </c>
      <c r="L242" s="20">
        <f t="shared" si="18"/>
        <v>0</v>
      </c>
      <c r="M242" s="42">
        <f>IFERROR(CONFIGURACION!$B$9,0)</f>
        <v>0.15</v>
      </c>
      <c r="N242" s="20">
        <f t="shared" si="19"/>
        <v>0</v>
      </c>
      <c r="AO242" s="26">
        <f t="shared" si="20"/>
        <v>0</v>
      </c>
      <c r="AP242" s="20">
        <f>IFERROR(ROUNDUP(O242/(1-CONFIGURACION!$B$6),0),0)</f>
        <v>0</v>
      </c>
      <c r="AQ242" s="26">
        <f>IFERROR(ROUNDUP(O242/(1-CONFIGURACION!$B$7),0),0)</f>
        <v>0</v>
      </c>
      <c r="AR242" s="20">
        <f>IFERROR(ROUNDUP(O242/(1-CONFIGURACION!$B$8),0),0)</f>
        <v>0</v>
      </c>
      <c r="AS242" s="43"/>
      <c r="AT242" s="30">
        <f t="shared" si="21"/>
        <v>0</v>
      </c>
      <c r="AU242" s="18"/>
    </row>
    <row r="243" spans="1:47">
      <c r="A243" s="17"/>
      <c r="B243" s="17"/>
      <c r="C243" s="17"/>
      <c r="D243" s="17"/>
      <c r="E243" s="20">
        <f>IFERROR(SUMIF(RECETAS!$B:$B,B243,RECETAS!$H:$H),0)</f>
        <v>0</v>
      </c>
      <c r="F243" s="17"/>
      <c r="G243" s="17"/>
      <c r="H243" s="17"/>
      <c r="I243" s="17"/>
      <c r="J243" s="18">
        <f t="shared" si="17"/>
        <v>0</v>
      </c>
      <c r="K243" s="20">
        <f>IFERROR(CONFIGURACION!$B$5,0)</f>
        <v>4000</v>
      </c>
      <c r="L243" s="20">
        <f t="shared" si="18"/>
        <v>0</v>
      </c>
      <c r="M243" s="42">
        <f>IFERROR(CONFIGURACION!$B$9,0)</f>
        <v>0.15</v>
      </c>
      <c r="N243" s="20">
        <f t="shared" si="19"/>
        <v>0</v>
      </c>
      <c r="AO243" s="26">
        <f t="shared" si="20"/>
        <v>0</v>
      </c>
      <c r="AP243" s="20">
        <f>IFERROR(ROUNDUP(O243/(1-CONFIGURACION!$B$6),0),0)</f>
        <v>0</v>
      </c>
      <c r="AQ243" s="26">
        <f>IFERROR(ROUNDUP(O243/(1-CONFIGURACION!$B$7),0),0)</f>
        <v>0</v>
      </c>
      <c r="AR243" s="20">
        <f>IFERROR(ROUNDUP(O243/(1-CONFIGURACION!$B$8),0),0)</f>
        <v>0</v>
      </c>
      <c r="AS243" s="43"/>
      <c r="AT243" s="30">
        <f t="shared" si="21"/>
        <v>0</v>
      </c>
      <c r="AU243" s="18"/>
    </row>
    <row r="244" spans="1:47">
      <c r="A244" s="17"/>
      <c r="B244" s="17"/>
      <c r="C244" s="17"/>
      <c r="D244" s="17"/>
      <c r="E244" s="20">
        <f>IFERROR(SUMIF(RECETAS!$B:$B,B244,RECETAS!$H:$H),0)</f>
        <v>0</v>
      </c>
      <c r="F244" s="17"/>
      <c r="G244" s="17"/>
      <c r="H244" s="17"/>
      <c r="I244" s="17"/>
      <c r="J244" s="18">
        <f t="shared" si="17"/>
        <v>0</v>
      </c>
      <c r="K244" s="20">
        <f>IFERROR(CONFIGURACION!$B$5,0)</f>
        <v>4000</v>
      </c>
      <c r="L244" s="20">
        <f t="shared" si="18"/>
        <v>0</v>
      </c>
      <c r="M244" s="42">
        <f>IFERROR(CONFIGURACION!$B$9,0)</f>
        <v>0.15</v>
      </c>
      <c r="N244" s="20">
        <f t="shared" si="19"/>
        <v>0</v>
      </c>
      <c r="AO244" s="26">
        <f t="shared" si="20"/>
        <v>0</v>
      </c>
      <c r="AP244" s="20">
        <f>IFERROR(ROUNDUP(O244/(1-CONFIGURACION!$B$6),0),0)</f>
        <v>0</v>
      </c>
      <c r="AQ244" s="26">
        <f>IFERROR(ROUNDUP(O244/(1-CONFIGURACION!$B$7),0),0)</f>
        <v>0</v>
      </c>
      <c r="AR244" s="20">
        <f>IFERROR(ROUNDUP(O244/(1-CONFIGURACION!$B$8),0),0)</f>
        <v>0</v>
      </c>
      <c r="AS244" s="43"/>
      <c r="AT244" s="30">
        <f t="shared" si="21"/>
        <v>0</v>
      </c>
      <c r="AU244" s="18"/>
    </row>
    <row r="245" spans="1:47">
      <c r="A245" s="17"/>
      <c r="B245" s="17"/>
      <c r="C245" s="17"/>
      <c r="D245" s="17"/>
      <c r="E245" s="20">
        <f>IFERROR(SUMIF(RECETAS!$B:$B,B245,RECETAS!$H:$H),0)</f>
        <v>0</v>
      </c>
      <c r="F245" s="17"/>
      <c r="G245" s="17"/>
      <c r="H245" s="17"/>
      <c r="I245" s="17"/>
      <c r="J245" s="18">
        <f t="shared" si="17"/>
        <v>0</v>
      </c>
      <c r="K245" s="20">
        <f>IFERROR(CONFIGURACION!$B$5,0)</f>
        <v>4000</v>
      </c>
      <c r="L245" s="20">
        <f t="shared" si="18"/>
        <v>0</v>
      </c>
      <c r="M245" s="42">
        <f>IFERROR(CONFIGURACION!$B$9,0)</f>
        <v>0.15</v>
      </c>
      <c r="N245" s="20">
        <f t="shared" si="19"/>
        <v>0</v>
      </c>
      <c r="AO245" s="26">
        <f t="shared" si="20"/>
        <v>0</v>
      </c>
      <c r="AP245" s="20">
        <f>IFERROR(ROUNDUP(O245/(1-CONFIGURACION!$B$6),0),0)</f>
        <v>0</v>
      </c>
      <c r="AQ245" s="26">
        <f>IFERROR(ROUNDUP(O245/(1-CONFIGURACION!$B$7),0),0)</f>
        <v>0</v>
      </c>
      <c r="AR245" s="20">
        <f>IFERROR(ROUNDUP(O245/(1-CONFIGURACION!$B$8),0),0)</f>
        <v>0</v>
      </c>
      <c r="AS245" s="43"/>
      <c r="AT245" s="30">
        <f t="shared" si="21"/>
        <v>0</v>
      </c>
      <c r="AU245" s="18"/>
    </row>
    <row r="246" spans="1:47">
      <c r="A246" s="17"/>
      <c r="B246" s="17"/>
      <c r="C246" s="17"/>
      <c r="D246" s="17"/>
      <c r="E246" s="20">
        <f>IFERROR(SUMIF(RECETAS!$B:$B,B246,RECETAS!$H:$H),0)</f>
        <v>0</v>
      </c>
      <c r="F246" s="17"/>
      <c r="G246" s="17"/>
      <c r="H246" s="17"/>
      <c r="I246" s="17"/>
      <c r="J246" s="18">
        <f t="shared" si="17"/>
        <v>0</v>
      </c>
      <c r="K246" s="20">
        <f>IFERROR(CONFIGURACION!$B$5,0)</f>
        <v>4000</v>
      </c>
      <c r="L246" s="20">
        <f t="shared" si="18"/>
        <v>0</v>
      </c>
      <c r="M246" s="42">
        <f>IFERROR(CONFIGURACION!$B$9,0)</f>
        <v>0.15</v>
      </c>
      <c r="N246" s="20">
        <f t="shared" si="19"/>
        <v>0</v>
      </c>
      <c r="AO246" s="26">
        <f t="shared" si="20"/>
        <v>0</v>
      </c>
      <c r="AP246" s="20">
        <f>IFERROR(ROUNDUP(O246/(1-CONFIGURACION!$B$6),0),0)</f>
        <v>0</v>
      </c>
      <c r="AQ246" s="26">
        <f>IFERROR(ROUNDUP(O246/(1-CONFIGURACION!$B$7),0),0)</f>
        <v>0</v>
      </c>
      <c r="AR246" s="20">
        <f>IFERROR(ROUNDUP(O246/(1-CONFIGURACION!$B$8),0),0)</f>
        <v>0</v>
      </c>
      <c r="AS246" s="43"/>
      <c r="AT246" s="30">
        <f t="shared" si="21"/>
        <v>0</v>
      </c>
      <c r="AU246" s="18"/>
    </row>
    <row r="247" spans="1:47">
      <c r="A247" s="17"/>
      <c r="B247" s="17"/>
      <c r="C247" s="17"/>
      <c r="D247" s="17"/>
      <c r="E247" s="20">
        <f>IFERROR(SUMIF(RECETAS!$B:$B,B247,RECETAS!$H:$H),0)</f>
        <v>0</v>
      </c>
      <c r="F247" s="17"/>
      <c r="G247" s="17"/>
      <c r="H247" s="17"/>
      <c r="I247" s="17"/>
      <c r="J247" s="18">
        <f t="shared" si="17"/>
        <v>0</v>
      </c>
      <c r="K247" s="20">
        <f>IFERROR(CONFIGURACION!$B$5,0)</f>
        <v>4000</v>
      </c>
      <c r="L247" s="20">
        <f t="shared" si="18"/>
        <v>0</v>
      </c>
      <c r="M247" s="42">
        <f>IFERROR(CONFIGURACION!$B$9,0)</f>
        <v>0.15</v>
      </c>
      <c r="N247" s="20">
        <f t="shared" si="19"/>
        <v>0</v>
      </c>
      <c r="AO247" s="26">
        <f t="shared" si="20"/>
        <v>0</v>
      </c>
      <c r="AP247" s="20">
        <f>IFERROR(ROUNDUP(O247/(1-CONFIGURACION!$B$6),0),0)</f>
        <v>0</v>
      </c>
      <c r="AQ247" s="26">
        <f>IFERROR(ROUNDUP(O247/(1-CONFIGURACION!$B$7),0),0)</f>
        <v>0</v>
      </c>
      <c r="AR247" s="20">
        <f>IFERROR(ROUNDUP(O247/(1-CONFIGURACION!$B$8),0),0)</f>
        <v>0</v>
      </c>
      <c r="AS247" s="43"/>
      <c r="AT247" s="30">
        <f t="shared" si="21"/>
        <v>0</v>
      </c>
      <c r="AU247" s="18"/>
    </row>
    <row r="248" spans="1:47">
      <c r="A248" s="17"/>
      <c r="B248" s="17"/>
      <c r="C248" s="17"/>
      <c r="D248" s="17"/>
      <c r="E248" s="20">
        <f>IFERROR(SUMIF(RECETAS!$B:$B,B248,RECETAS!$H:$H),0)</f>
        <v>0</v>
      </c>
      <c r="F248" s="17"/>
      <c r="G248" s="17"/>
      <c r="H248" s="17"/>
      <c r="I248" s="17"/>
      <c r="J248" s="18">
        <f t="shared" si="17"/>
        <v>0</v>
      </c>
      <c r="K248" s="20">
        <f>IFERROR(CONFIGURACION!$B$5,0)</f>
        <v>4000</v>
      </c>
      <c r="L248" s="20">
        <f t="shared" si="18"/>
        <v>0</v>
      </c>
      <c r="M248" s="42">
        <f>IFERROR(CONFIGURACION!$B$9,0)</f>
        <v>0.15</v>
      </c>
      <c r="N248" s="20">
        <f t="shared" si="19"/>
        <v>0</v>
      </c>
      <c r="AO248" s="26">
        <f t="shared" si="20"/>
        <v>0</v>
      </c>
      <c r="AP248" s="20">
        <f>IFERROR(ROUNDUP(O248/(1-CONFIGURACION!$B$6),0),0)</f>
        <v>0</v>
      </c>
      <c r="AQ248" s="26">
        <f>IFERROR(ROUNDUP(O248/(1-CONFIGURACION!$B$7),0),0)</f>
        <v>0</v>
      </c>
      <c r="AR248" s="20">
        <f>IFERROR(ROUNDUP(O248/(1-CONFIGURACION!$B$8),0),0)</f>
        <v>0</v>
      </c>
      <c r="AS248" s="43"/>
      <c r="AT248" s="30">
        <f t="shared" si="21"/>
        <v>0</v>
      </c>
      <c r="AU248" s="18"/>
    </row>
    <row r="249" spans="1:47">
      <c r="A249" s="17"/>
      <c r="B249" s="17"/>
      <c r="C249" s="17"/>
      <c r="D249" s="17"/>
      <c r="E249" s="20">
        <f>IFERROR(SUMIF(RECETAS!$B:$B,B249,RECETAS!$H:$H),0)</f>
        <v>0</v>
      </c>
      <c r="F249" s="17"/>
      <c r="G249" s="17"/>
      <c r="H249" s="17"/>
      <c r="I249" s="17"/>
      <c r="J249" s="18">
        <f t="shared" si="17"/>
        <v>0</v>
      </c>
      <c r="K249" s="20">
        <f>IFERROR(CONFIGURACION!$B$5,0)</f>
        <v>4000</v>
      </c>
      <c r="L249" s="20">
        <f t="shared" si="18"/>
        <v>0</v>
      </c>
      <c r="M249" s="42">
        <f>IFERROR(CONFIGURACION!$B$9,0)</f>
        <v>0.15</v>
      </c>
      <c r="N249" s="20">
        <f t="shared" si="19"/>
        <v>0</v>
      </c>
      <c r="AO249" s="26">
        <f t="shared" si="20"/>
        <v>0</v>
      </c>
      <c r="AP249" s="20">
        <f>IFERROR(ROUNDUP(O249/(1-CONFIGURACION!$B$6),0),0)</f>
        <v>0</v>
      </c>
      <c r="AQ249" s="26">
        <f>IFERROR(ROUNDUP(O249/(1-CONFIGURACION!$B$7),0),0)</f>
        <v>0</v>
      </c>
      <c r="AR249" s="20">
        <f>IFERROR(ROUNDUP(O249/(1-CONFIGURACION!$B$8),0),0)</f>
        <v>0</v>
      </c>
      <c r="AS249" s="43"/>
      <c r="AT249" s="30">
        <f t="shared" si="21"/>
        <v>0</v>
      </c>
      <c r="AU249" s="18"/>
    </row>
    <row r="250" spans="1:47">
      <c r="A250" s="17"/>
      <c r="B250" s="17"/>
      <c r="C250" s="17"/>
      <c r="D250" s="17"/>
      <c r="E250" s="20">
        <f>IFERROR(SUMIF(RECETAS!$B:$B,B250,RECETAS!$H:$H),0)</f>
        <v>0</v>
      </c>
      <c r="F250" s="17"/>
      <c r="G250" s="17"/>
      <c r="H250" s="17"/>
      <c r="I250" s="17"/>
      <c r="J250" s="18">
        <f t="shared" si="17"/>
        <v>0</v>
      </c>
      <c r="K250" s="20">
        <f>IFERROR(CONFIGURACION!$B$5,0)</f>
        <v>4000</v>
      </c>
      <c r="L250" s="20">
        <f t="shared" si="18"/>
        <v>0</v>
      </c>
      <c r="M250" s="42">
        <f>IFERROR(CONFIGURACION!$B$9,0)</f>
        <v>0.15</v>
      </c>
      <c r="N250" s="20">
        <f t="shared" si="19"/>
        <v>0</v>
      </c>
      <c r="AO250" s="26">
        <f t="shared" si="20"/>
        <v>0</v>
      </c>
      <c r="AP250" s="20">
        <f>IFERROR(ROUNDUP(O250/(1-CONFIGURACION!$B$6),0),0)</f>
        <v>0</v>
      </c>
      <c r="AQ250" s="26">
        <f>IFERROR(ROUNDUP(O250/(1-CONFIGURACION!$B$7),0),0)</f>
        <v>0</v>
      </c>
      <c r="AR250" s="20">
        <f>IFERROR(ROUNDUP(O250/(1-CONFIGURACION!$B$8),0),0)</f>
        <v>0</v>
      </c>
      <c r="AS250" s="43"/>
      <c r="AT250" s="30">
        <f t="shared" si="21"/>
        <v>0</v>
      </c>
      <c r="AU250" s="18"/>
    </row>
    <row r="251" spans="1:47">
      <c r="A251" s="17"/>
      <c r="B251" s="17"/>
      <c r="C251" s="17"/>
      <c r="D251" s="17"/>
      <c r="E251" s="20">
        <f>IFERROR(SUMIF(RECETAS!$B:$B,B251,RECETAS!$H:$H),0)</f>
        <v>0</v>
      </c>
      <c r="F251" s="17"/>
      <c r="G251" s="17"/>
      <c r="H251" s="17"/>
      <c r="I251" s="17"/>
      <c r="J251" s="18">
        <f t="shared" si="17"/>
        <v>0</v>
      </c>
      <c r="K251" s="20">
        <f>IFERROR(CONFIGURACION!$B$5,0)</f>
        <v>4000</v>
      </c>
      <c r="L251" s="20">
        <f t="shared" si="18"/>
        <v>0</v>
      </c>
      <c r="M251" s="42">
        <f>IFERROR(CONFIGURACION!$B$9,0)</f>
        <v>0.15</v>
      </c>
      <c r="N251" s="20">
        <f t="shared" si="19"/>
        <v>0</v>
      </c>
      <c r="AO251" s="26">
        <f t="shared" si="20"/>
        <v>0</v>
      </c>
      <c r="AP251" s="20">
        <f>IFERROR(ROUNDUP(O251/(1-CONFIGURACION!$B$6),0),0)</f>
        <v>0</v>
      </c>
      <c r="AQ251" s="26">
        <f>IFERROR(ROUNDUP(O251/(1-CONFIGURACION!$B$7),0),0)</f>
        <v>0</v>
      </c>
      <c r="AR251" s="20">
        <f>IFERROR(ROUNDUP(O251/(1-CONFIGURACION!$B$8),0),0)</f>
        <v>0</v>
      </c>
      <c r="AS251" s="43"/>
      <c r="AT251" s="30">
        <f t="shared" si="21"/>
        <v>0</v>
      </c>
      <c r="AU251" s="18"/>
    </row>
    <row r="252" spans="1:47">
      <c r="A252" s="17"/>
      <c r="B252" s="17"/>
      <c r="C252" s="17"/>
      <c r="D252" s="17"/>
      <c r="E252" s="20">
        <f>IFERROR(SUMIF(RECETAS!$B:$B,B252,RECETAS!$H:$H),0)</f>
        <v>0</v>
      </c>
      <c r="F252" s="17"/>
      <c r="G252" s="17"/>
      <c r="H252" s="17"/>
      <c r="I252" s="17"/>
      <c r="J252" s="18">
        <f t="shared" si="17"/>
        <v>0</v>
      </c>
      <c r="K252" s="20">
        <f>IFERROR(CONFIGURACION!$B$5,0)</f>
        <v>4000</v>
      </c>
      <c r="L252" s="20">
        <f t="shared" si="18"/>
        <v>0</v>
      </c>
      <c r="M252" s="42">
        <f>IFERROR(CONFIGURACION!$B$9,0)</f>
        <v>0.15</v>
      </c>
      <c r="N252" s="20">
        <f t="shared" si="19"/>
        <v>0</v>
      </c>
      <c r="AO252" s="26">
        <f t="shared" si="20"/>
        <v>0</v>
      </c>
      <c r="AP252" s="20">
        <f>IFERROR(ROUNDUP(O252/(1-CONFIGURACION!$B$6),0),0)</f>
        <v>0</v>
      </c>
      <c r="AQ252" s="26">
        <f>IFERROR(ROUNDUP(O252/(1-CONFIGURACION!$B$7),0),0)</f>
        <v>0</v>
      </c>
      <c r="AR252" s="20">
        <f>IFERROR(ROUNDUP(O252/(1-CONFIGURACION!$B$8),0),0)</f>
        <v>0</v>
      </c>
      <c r="AS252" s="43"/>
      <c r="AT252" s="30">
        <f t="shared" si="21"/>
        <v>0</v>
      </c>
      <c r="AU252" s="18"/>
    </row>
    <row r="253" spans="1:47">
      <c r="A253" s="17"/>
      <c r="B253" s="17"/>
      <c r="C253" s="17"/>
      <c r="D253" s="17"/>
      <c r="E253" s="20">
        <f>IFERROR(SUMIF(RECETAS!$B:$B,B253,RECETAS!$H:$H),0)</f>
        <v>0</v>
      </c>
      <c r="F253" s="17"/>
      <c r="G253" s="17"/>
      <c r="H253" s="17"/>
      <c r="I253" s="17"/>
      <c r="J253" s="18">
        <f t="shared" si="17"/>
        <v>0</v>
      </c>
      <c r="K253" s="20">
        <f>IFERROR(CONFIGURACION!$B$5,0)</f>
        <v>4000</v>
      </c>
      <c r="L253" s="20">
        <f t="shared" si="18"/>
        <v>0</v>
      </c>
      <c r="M253" s="42">
        <f>IFERROR(CONFIGURACION!$B$9,0)</f>
        <v>0.15</v>
      </c>
      <c r="N253" s="20">
        <f t="shared" si="19"/>
        <v>0</v>
      </c>
      <c r="AO253" s="26">
        <f t="shared" si="20"/>
        <v>0</v>
      </c>
      <c r="AP253" s="20">
        <f>IFERROR(ROUNDUP(O253/(1-CONFIGURACION!$B$6),0),0)</f>
        <v>0</v>
      </c>
      <c r="AQ253" s="26">
        <f>IFERROR(ROUNDUP(O253/(1-CONFIGURACION!$B$7),0),0)</f>
        <v>0</v>
      </c>
      <c r="AR253" s="20">
        <f>IFERROR(ROUNDUP(O253/(1-CONFIGURACION!$B$8),0),0)</f>
        <v>0</v>
      </c>
      <c r="AS253" s="43"/>
      <c r="AT253" s="30">
        <f t="shared" si="21"/>
        <v>0</v>
      </c>
      <c r="AU253" s="18"/>
    </row>
    <row r="254" spans="1:47">
      <c r="A254" s="17"/>
      <c r="B254" s="17"/>
      <c r="C254" s="17"/>
      <c r="D254" s="17"/>
      <c r="E254" s="20">
        <f>IFERROR(SUMIF(RECETAS!$B:$B,B254,RECETAS!$H:$H),0)</f>
        <v>0</v>
      </c>
      <c r="F254" s="17"/>
      <c r="G254" s="17"/>
      <c r="H254" s="17"/>
      <c r="I254" s="17"/>
      <c r="J254" s="18">
        <f t="shared" si="17"/>
        <v>0</v>
      </c>
      <c r="K254" s="20">
        <f>IFERROR(CONFIGURACION!$B$5,0)</f>
        <v>4000</v>
      </c>
      <c r="L254" s="20">
        <f t="shared" si="18"/>
        <v>0</v>
      </c>
      <c r="M254" s="42">
        <f>IFERROR(CONFIGURACION!$B$9,0)</f>
        <v>0.15</v>
      </c>
      <c r="N254" s="20">
        <f t="shared" si="19"/>
        <v>0</v>
      </c>
      <c r="AO254" s="26">
        <f t="shared" si="20"/>
        <v>0</v>
      </c>
      <c r="AP254" s="20">
        <f>IFERROR(ROUNDUP(O254/(1-CONFIGURACION!$B$6),0),0)</f>
        <v>0</v>
      </c>
      <c r="AQ254" s="26">
        <f>IFERROR(ROUNDUP(O254/(1-CONFIGURACION!$B$7),0),0)</f>
        <v>0</v>
      </c>
      <c r="AR254" s="20">
        <f>IFERROR(ROUNDUP(O254/(1-CONFIGURACION!$B$8),0),0)</f>
        <v>0</v>
      </c>
      <c r="AS254" s="43"/>
      <c r="AT254" s="30">
        <f t="shared" si="21"/>
        <v>0</v>
      </c>
      <c r="AU254" s="18"/>
    </row>
    <row r="255" spans="1:47">
      <c r="A255" s="17"/>
      <c r="B255" s="17"/>
      <c r="C255" s="17"/>
      <c r="D255" s="17"/>
      <c r="E255" s="20">
        <f>IFERROR(SUMIF(RECETAS!$B:$B,B255,RECETAS!$H:$H),0)</f>
        <v>0</v>
      </c>
      <c r="F255" s="17"/>
      <c r="G255" s="17"/>
      <c r="H255" s="17"/>
      <c r="I255" s="17"/>
      <c r="J255" s="18">
        <f t="shared" si="17"/>
        <v>0</v>
      </c>
      <c r="K255" s="20">
        <f>IFERROR(CONFIGURACION!$B$5,0)</f>
        <v>4000</v>
      </c>
      <c r="L255" s="20">
        <f t="shared" si="18"/>
        <v>0</v>
      </c>
      <c r="M255" s="42">
        <f>IFERROR(CONFIGURACION!$B$9,0)</f>
        <v>0.15</v>
      </c>
      <c r="N255" s="20">
        <f t="shared" si="19"/>
        <v>0</v>
      </c>
      <c r="AO255" s="26">
        <f t="shared" si="20"/>
        <v>0</v>
      </c>
      <c r="AP255" s="20">
        <f>IFERROR(ROUNDUP(O255/(1-CONFIGURACION!$B$6),0),0)</f>
        <v>0</v>
      </c>
      <c r="AQ255" s="26">
        <f>IFERROR(ROUNDUP(O255/(1-CONFIGURACION!$B$7),0),0)</f>
        <v>0</v>
      </c>
      <c r="AR255" s="20">
        <f>IFERROR(ROUNDUP(O255/(1-CONFIGURACION!$B$8),0),0)</f>
        <v>0</v>
      </c>
      <c r="AS255" s="43"/>
      <c r="AT255" s="30">
        <f t="shared" si="21"/>
        <v>0</v>
      </c>
      <c r="AU255" s="18"/>
    </row>
    <row r="256" spans="1:47">
      <c r="A256" s="17"/>
      <c r="B256" s="17"/>
      <c r="C256" s="17"/>
      <c r="D256" s="17"/>
      <c r="E256" s="20">
        <f>IFERROR(SUMIF(RECETAS!$B:$B,B256,RECETAS!$H:$H),0)</f>
        <v>0</v>
      </c>
      <c r="F256" s="17"/>
      <c r="G256" s="17"/>
      <c r="H256" s="17"/>
      <c r="I256" s="17"/>
      <c r="J256" s="18">
        <f t="shared" si="17"/>
        <v>0</v>
      </c>
      <c r="K256" s="20">
        <f>IFERROR(CONFIGURACION!$B$5,0)</f>
        <v>4000</v>
      </c>
      <c r="L256" s="20">
        <f t="shared" si="18"/>
        <v>0</v>
      </c>
      <c r="M256" s="42">
        <f>IFERROR(CONFIGURACION!$B$9,0)</f>
        <v>0.15</v>
      </c>
      <c r="N256" s="20">
        <f t="shared" si="19"/>
        <v>0</v>
      </c>
      <c r="AO256" s="26">
        <f t="shared" si="20"/>
        <v>0</v>
      </c>
      <c r="AP256" s="20">
        <f>IFERROR(ROUNDUP(O256/(1-CONFIGURACION!$B$6),0),0)</f>
        <v>0</v>
      </c>
      <c r="AQ256" s="26">
        <f>IFERROR(ROUNDUP(O256/(1-CONFIGURACION!$B$7),0),0)</f>
        <v>0</v>
      </c>
      <c r="AR256" s="20">
        <f>IFERROR(ROUNDUP(O256/(1-CONFIGURACION!$B$8),0),0)</f>
        <v>0</v>
      </c>
      <c r="AS256" s="43"/>
      <c r="AT256" s="30">
        <f t="shared" si="21"/>
        <v>0</v>
      </c>
      <c r="AU256" s="18"/>
    </row>
    <row r="257" spans="1:47">
      <c r="A257" s="17"/>
      <c r="B257" s="17"/>
      <c r="C257" s="17"/>
      <c r="D257" s="17"/>
      <c r="E257" s="20">
        <f>IFERROR(SUMIF(RECETAS!$B:$B,B257,RECETAS!$H:$H),0)</f>
        <v>0</v>
      </c>
      <c r="F257" s="17"/>
      <c r="G257" s="17"/>
      <c r="H257" s="17"/>
      <c r="I257" s="17"/>
      <c r="J257" s="18">
        <f t="shared" si="17"/>
        <v>0</v>
      </c>
      <c r="K257" s="20">
        <f>IFERROR(CONFIGURACION!$B$5,0)</f>
        <v>4000</v>
      </c>
      <c r="L257" s="20">
        <f t="shared" si="18"/>
        <v>0</v>
      </c>
      <c r="M257" s="42">
        <f>IFERROR(CONFIGURACION!$B$9,0)</f>
        <v>0.15</v>
      </c>
      <c r="N257" s="20">
        <f t="shared" si="19"/>
        <v>0</v>
      </c>
      <c r="AO257" s="26">
        <f t="shared" si="20"/>
        <v>0</v>
      </c>
      <c r="AP257" s="20">
        <f>IFERROR(ROUNDUP(O257/(1-CONFIGURACION!$B$6),0),0)</f>
        <v>0</v>
      </c>
      <c r="AQ257" s="26">
        <f>IFERROR(ROUNDUP(O257/(1-CONFIGURACION!$B$7),0),0)</f>
        <v>0</v>
      </c>
      <c r="AR257" s="20">
        <f>IFERROR(ROUNDUP(O257/(1-CONFIGURACION!$B$8),0),0)</f>
        <v>0</v>
      </c>
      <c r="AS257" s="43"/>
      <c r="AT257" s="30">
        <f t="shared" si="21"/>
        <v>0</v>
      </c>
      <c r="AU257" s="18"/>
    </row>
    <row r="258" spans="1:47">
      <c r="A258" s="17"/>
      <c r="B258" s="17"/>
      <c r="C258" s="17"/>
      <c r="D258" s="17"/>
      <c r="E258" s="20">
        <f>IFERROR(SUMIF(RECETAS!$B:$B,B258,RECETAS!$H:$H),0)</f>
        <v>0</v>
      </c>
      <c r="F258" s="17"/>
      <c r="G258" s="17"/>
      <c r="H258" s="17"/>
      <c r="I258" s="17"/>
      <c r="J258" s="18">
        <f t="shared" si="17"/>
        <v>0</v>
      </c>
      <c r="K258" s="20">
        <f>IFERROR(CONFIGURACION!$B$5,0)</f>
        <v>4000</v>
      </c>
      <c r="L258" s="20">
        <f t="shared" si="18"/>
        <v>0</v>
      </c>
      <c r="M258" s="42">
        <f>IFERROR(CONFIGURACION!$B$9,0)</f>
        <v>0.15</v>
      </c>
      <c r="N258" s="20">
        <f t="shared" si="19"/>
        <v>0</v>
      </c>
      <c r="AO258" s="26">
        <f t="shared" si="20"/>
        <v>0</v>
      </c>
      <c r="AP258" s="20">
        <f>IFERROR(ROUNDUP(O258/(1-CONFIGURACION!$B$6),0),0)</f>
        <v>0</v>
      </c>
      <c r="AQ258" s="26">
        <f>IFERROR(ROUNDUP(O258/(1-CONFIGURACION!$B$7),0),0)</f>
        <v>0</v>
      </c>
      <c r="AR258" s="20">
        <f>IFERROR(ROUNDUP(O258/(1-CONFIGURACION!$B$8),0),0)</f>
        <v>0</v>
      </c>
      <c r="AS258" s="43"/>
      <c r="AT258" s="30">
        <f t="shared" si="21"/>
        <v>0</v>
      </c>
      <c r="AU258" s="18"/>
    </row>
    <row r="259" spans="1:47">
      <c r="A259" s="17"/>
      <c r="B259" s="17"/>
      <c r="C259" s="17"/>
      <c r="D259" s="17"/>
      <c r="E259" s="20">
        <f>IFERROR(SUMIF(RECETAS!$B:$B,B259,RECETAS!$H:$H),0)</f>
        <v>0</v>
      </c>
      <c r="F259" s="17"/>
      <c r="G259" s="17"/>
      <c r="H259" s="17"/>
      <c r="I259" s="17"/>
      <c r="J259" s="18">
        <f t="shared" si="17"/>
        <v>0</v>
      </c>
      <c r="K259" s="20">
        <f>IFERROR(CONFIGURACION!$B$5,0)</f>
        <v>4000</v>
      </c>
      <c r="L259" s="20">
        <f t="shared" si="18"/>
        <v>0</v>
      </c>
      <c r="M259" s="42">
        <f>IFERROR(CONFIGURACION!$B$9,0)</f>
        <v>0.15</v>
      </c>
      <c r="N259" s="20">
        <f t="shared" si="19"/>
        <v>0</v>
      </c>
      <c r="AO259" s="26">
        <f t="shared" si="20"/>
        <v>0</v>
      </c>
      <c r="AP259" s="20">
        <f>IFERROR(ROUNDUP(O259/(1-CONFIGURACION!$B$6),0),0)</f>
        <v>0</v>
      </c>
      <c r="AQ259" s="26">
        <f>IFERROR(ROUNDUP(O259/(1-CONFIGURACION!$B$7),0),0)</f>
        <v>0</v>
      </c>
      <c r="AR259" s="20">
        <f>IFERROR(ROUNDUP(O259/(1-CONFIGURACION!$B$8),0),0)</f>
        <v>0</v>
      </c>
      <c r="AS259" s="43"/>
      <c r="AT259" s="30">
        <f t="shared" si="21"/>
        <v>0</v>
      </c>
      <c r="AU259" s="18"/>
    </row>
    <row r="260" spans="1:47">
      <c r="A260" s="17"/>
      <c r="B260" s="17"/>
      <c r="C260" s="17"/>
      <c r="D260" s="17"/>
      <c r="E260" s="20">
        <f>IFERROR(SUMIF(RECETAS!$B:$B,B260,RECETAS!$H:$H),0)</f>
        <v>0</v>
      </c>
      <c r="F260" s="17"/>
      <c r="G260" s="17"/>
      <c r="H260" s="17"/>
      <c r="I260" s="17"/>
      <c r="J260" s="18">
        <f t="shared" si="17"/>
        <v>0</v>
      </c>
      <c r="K260" s="20">
        <f>IFERROR(CONFIGURACION!$B$5,0)</f>
        <v>4000</v>
      </c>
      <c r="L260" s="20">
        <f t="shared" si="18"/>
        <v>0</v>
      </c>
      <c r="M260" s="42">
        <f>IFERROR(CONFIGURACION!$B$9,0)</f>
        <v>0.15</v>
      </c>
      <c r="N260" s="20">
        <f t="shared" si="19"/>
        <v>0</v>
      </c>
      <c r="AO260" s="26">
        <f t="shared" si="20"/>
        <v>0</v>
      </c>
      <c r="AP260" s="20">
        <f>IFERROR(ROUNDUP(O260/(1-CONFIGURACION!$B$6),0),0)</f>
        <v>0</v>
      </c>
      <c r="AQ260" s="26">
        <f>IFERROR(ROUNDUP(O260/(1-CONFIGURACION!$B$7),0),0)</f>
        <v>0</v>
      </c>
      <c r="AR260" s="20">
        <f>IFERROR(ROUNDUP(O260/(1-CONFIGURACION!$B$8),0),0)</f>
        <v>0</v>
      </c>
      <c r="AS260" s="43"/>
      <c r="AT260" s="30">
        <f t="shared" si="21"/>
        <v>0</v>
      </c>
      <c r="AU260" s="18"/>
    </row>
    <row r="261" spans="1:47">
      <c r="A261" s="17"/>
      <c r="B261" s="17"/>
      <c r="C261" s="17"/>
      <c r="D261" s="17"/>
      <c r="E261" s="20">
        <f>IFERROR(SUMIF(RECETAS!$B:$B,B261,RECETAS!$H:$H),0)</f>
        <v>0</v>
      </c>
      <c r="F261" s="17"/>
      <c r="G261" s="17"/>
      <c r="H261" s="17"/>
      <c r="I261" s="17"/>
      <c r="J261" s="18">
        <f t="shared" ref="J261:J300" si="22">F261+G261+H261+I261</f>
        <v>0</v>
      </c>
      <c r="K261" s="20">
        <f>IFERROR(CONFIGURACION!$B$5,0)</f>
        <v>4000</v>
      </c>
      <c r="L261" s="20">
        <f t="shared" ref="L261:L300" si="23">IFERROR(J261*K261/60,0)</f>
        <v>0</v>
      </c>
      <c r="M261" s="42">
        <f>IFERROR(CONFIGURACION!$B$9,0)</f>
        <v>0.15</v>
      </c>
      <c r="N261" s="20">
        <f t="shared" ref="N261:N300" si="24">IFERROR((E261+L261)*M261,0)</f>
        <v>0</v>
      </c>
      <c r="AO261" s="26">
        <f t="shared" ref="AO261:AO300" si="25">IFERROR(E261+L261+N261,0)</f>
        <v>0</v>
      </c>
      <c r="AP261" s="20">
        <f>IFERROR(ROUNDUP(O261/(1-CONFIGURACION!$B$6),0),0)</f>
        <v>0</v>
      </c>
      <c r="AQ261" s="26">
        <f>IFERROR(ROUNDUP(O261/(1-CONFIGURACION!$B$7),0),0)</f>
        <v>0</v>
      </c>
      <c r="AR261" s="20">
        <f>IFERROR(ROUNDUP(O261/(1-CONFIGURACION!$B$8),0),0)</f>
        <v>0</v>
      </c>
      <c r="AS261" s="43"/>
      <c r="AT261" s="30">
        <f t="shared" ref="AT261:AT300" si="26">IF(S261&gt;0,(S261-O261)/S261,0)</f>
        <v>0</v>
      </c>
      <c r="AU261" s="18"/>
    </row>
    <row r="262" spans="1:47">
      <c r="A262" s="17"/>
      <c r="B262" s="17"/>
      <c r="C262" s="17"/>
      <c r="D262" s="17"/>
      <c r="E262" s="20">
        <f>IFERROR(SUMIF(RECETAS!$B:$B,B262,RECETAS!$H:$H),0)</f>
        <v>0</v>
      </c>
      <c r="F262" s="17"/>
      <c r="G262" s="17"/>
      <c r="H262" s="17"/>
      <c r="I262" s="17"/>
      <c r="J262" s="18">
        <f t="shared" si="22"/>
        <v>0</v>
      </c>
      <c r="K262" s="20">
        <f>IFERROR(CONFIGURACION!$B$5,0)</f>
        <v>4000</v>
      </c>
      <c r="L262" s="20">
        <f t="shared" si="23"/>
        <v>0</v>
      </c>
      <c r="M262" s="42">
        <f>IFERROR(CONFIGURACION!$B$9,0)</f>
        <v>0.15</v>
      </c>
      <c r="N262" s="20">
        <f t="shared" si="24"/>
        <v>0</v>
      </c>
      <c r="AO262" s="26">
        <f t="shared" si="25"/>
        <v>0</v>
      </c>
      <c r="AP262" s="20">
        <f>IFERROR(ROUNDUP(O262/(1-CONFIGURACION!$B$6),0),0)</f>
        <v>0</v>
      </c>
      <c r="AQ262" s="26">
        <f>IFERROR(ROUNDUP(O262/(1-CONFIGURACION!$B$7),0),0)</f>
        <v>0</v>
      </c>
      <c r="AR262" s="20">
        <f>IFERROR(ROUNDUP(O262/(1-CONFIGURACION!$B$8),0),0)</f>
        <v>0</v>
      </c>
      <c r="AS262" s="43"/>
      <c r="AT262" s="30">
        <f t="shared" si="26"/>
        <v>0</v>
      </c>
      <c r="AU262" s="18"/>
    </row>
    <row r="263" spans="1:47">
      <c r="A263" s="17"/>
      <c r="B263" s="17"/>
      <c r="C263" s="17"/>
      <c r="D263" s="17"/>
      <c r="E263" s="20">
        <f>IFERROR(SUMIF(RECETAS!$B:$B,B263,RECETAS!$H:$H),0)</f>
        <v>0</v>
      </c>
      <c r="F263" s="17"/>
      <c r="G263" s="17"/>
      <c r="H263" s="17"/>
      <c r="I263" s="17"/>
      <c r="J263" s="18">
        <f t="shared" si="22"/>
        <v>0</v>
      </c>
      <c r="K263" s="20">
        <f>IFERROR(CONFIGURACION!$B$5,0)</f>
        <v>4000</v>
      </c>
      <c r="L263" s="20">
        <f t="shared" si="23"/>
        <v>0</v>
      </c>
      <c r="M263" s="42">
        <f>IFERROR(CONFIGURACION!$B$9,0)</f>
        <v>0.15</v>
      </c>
      <c r="N263" s="20">
        <f t="shared" si="24"/>
        <v>0</v>
      </c>
      <c r="AO263" s="26">
        <f t="shared" si="25"/>
        <v>0</v>
      </c>
      <c r="AP263" s="20">
        <f>IFERROR(ROUNDUP(O263/(1-CONFIGURACION!$B$6),0),0)</f>
        <v>0</v>
      </c>
      <c r="AQ263" s="26">
        <f>IFERROR(ROUNDUP(O263/(1-CONFIGURACION!$B$7),0),0)</f>
        <v>0</v>
      </c>
      <c r="AR263" s="20">
        <f>IFERROR(ROUNDUP(O263/(1-CONFIGURACION!$B$8),0),0)</f>
        <v>0</v>
      </c>
      <c r="AS263" s="43"/>
      <c r="AT263" s="30">
        <f t="shared" si="26"/>
        <v>0</v>
      </c>
      <c r="AU263" s="18"/>
    </row>
    <row r="264" spans="1:47">
      <c r="A264" s="17"/>
      <c r="B264" s="17"/>
      <c r="C264" s="17"/>
      <c r="D264" s="17"/>
      <c r="E264" s="20">
        <f>IFERROR(SUMIF(RECETAS!$B:$B,B264,RECETAS!$H:$H),0)</f>
        <v>0</v>
      </c>
      <c r="F264" s="17"/>
      <c r="G264" s="17"/>
      <c r="H264" s="17"/>
      <c r="I264" s="17"/>
      <c r="J264" s="18">
        <f t="shared" si="22"/>
        <v>0</v>
      </c>
      <c r="K264" s="20">
        <f>IFERROR(CONFIGURACION!$B$5,0)</f>
        <v>4000</v>
      </c>
      <c r="L264" s="20">
        <f t="shared" si="23"/>
        <v>0</v>
      </c>
      <c r="M264" s="42">
        <f>IFERROR(CONFIGURACION!$B$9,0)</f>
        <v>0.15</v>
      </c>
      <c r="N264" s="20">
        <f t="shared" si="24"/>
        <v>0</v>
      </c>
      <c r="AO264" s="26">
        <f t="shared" si="25"/>
        <v>0</v>
      </c>
      <c r="AP264" s="20">
        <f>IFERROR(ROUNDUP(O264/(1-CONFIGURACION!$B$6),0),0)</f>
        <v>0</v>
      </c>
      <c r="AQ264" s="26">
        <f>IFERROR(ROUNDUP(O264/(1-CONFIGURACION!$B$7),0),0)</f>
        <v>0</v>
      </c>
      <c r="AR264" s="20">
        <f>IFERROR(ROUNDUP(O264/(1-CONFIGURACION!$B$8),0),0)</f>
        <v>0</v>
      </c>
      <c r="AS264" s="43"/>
      <c r="AT264" s="30">
        <f t="shared" si="26"/>
        <v>0</v>
      </c>
      <c r="AU264" s="18"/>
    </row>
    <row r="265" spans="1:47">
      <c r="A265" s="17"/>
      <c r="B265" s="17"/>
      <c r="C265" s="17"/>
      <c r="D265" s="17"/>
      <c r="E265" s="20">
        <f>IFERROR(SUMIF(RECETAS!$B:$B,B265,RECETAS!$H:$H),0)</f>
        <v>0</v>
      </c>
      <c r="F265" s="17"/>
      <c r="G265" s="17"/>
      <c r="H265" s="17"/>
      <c r="I265" s="17"/>
      <c r="J265" s="18">
        <f t="shared" si="22"/>
        <v>0</v>
      </c>
      <c r="K265" s="20">
        <f>IFERROR(CONFIGURACION!$B$5,0)</f>
        <v>4000</v>
      </c>
      <c r="L265" s="20">
        <f t="shared" si="23"/>
        <v>0</v>
      </c>
      <c r="M265" s="42">
        <f>IFERROR(CONFIGURACION!$B$9,0)</f>
        <v>0.15</v>
      </c>
      <c r="N265" s="20">
        <f t="shared" si="24"/>
        <v>0</v>
      </c>
      <c r="AO265" s="26">
        <f t="shared" si="25"/>
        <v>0</v>
      </c>
      <c r="AP265" s="20">
        <f>IFERROR(ROUNDUP(O265/(1-CONFIGURACION!$B$6),0),0)</f>
        <v>0</v>
      </c>
      <c r="AQ265" s="26">
        <f>IFERROR(ROUNDUP(O265/(1-CONFIGURACION!$B$7),0),0)</f>
        <v>0</v>
      </c>
      <c r="AR265" s="20">
        <f>IFERROR(ROUNDUP(O265/(1-CONFIGURACION!$B$8),0),0)</f>
        <v>0</v>
      </c>
      <c r="AS265" s="43"/>
      <c r="AT265" s="30">
        <f t="shared" si="26"/>
        <v>0</v>
      </c>
      <c r="AU265" s="18"/>
    </row>
    <row r="266" spans="1:47">
      <c r="A266" s="17"/>
      <c r="B266" s="17"/>
      <c r="C266" s="17"/>
      <c r="D266" s="17"/>
      <c r="E266" s="20">
        <f>IFERROR(SUMIF(RECETAS!$B:$B,B266,RECETAS!$H:$H),0)</f>
        <v>0</v>
      </c>
      <c r="F266" s="17"/>
      <c r="G266" s="17"/>
      <c r="H266" s="17"/>
      <c r="I266" s="17"/>
      <c r="J266" s="18">
        <f t="shared" si="22"/>
        <v>0</v>
      </c>
      <c r="K266" s="20">
        <f>IFERROR(CONFIGURACION!$B$5,0)</f>
        <v>4000</v>
      </c>
      <c r="L266" s="20">
        <f t="shared" si="23"/>
        <v>0</v>
      </c>
      <c r="M266" s="42">
        <f>IFERROR(CONFIGURACION!$B$9,0)</f>
        <v>0.15</v>
      </c>
      <c r="N266" s="20">
        <f t="shared" si="24"/>
        <v>0</v>
      </c>
      <c r="AO266" s="26">
        <f t="shared" si="25"/>
        <v>0</v>
      </c>
      <c r="AP266" s="20">
        <f>IFERROR(ROUNDUP(O266/(1-CONFIGURACION!$B$6),0),0)</f>
        <v>0</v>
      </c>
      <c r="AQ266" s="26">
        <f>IFERROR(ROUNDUP(O266/(1-CONFIGURACION!$B$7),0),0)</f>
        <v>0</v>
      </c>
      <c r="AR266" s="20">
        <f>IFERROR(ROUNDUP(O266/(1-CONFIGURACION!$B$8),0),0)</f>
        <v>0</v>
      </c>
      <c r="AS266" s="43"/>
      <c r="AT266" s="30">
        <f t="shared" si="26"/>
        <v>0</v>
      </c>
      <c r="AU266" s="18"/>
    </row>
    <row r="267" spans="1:47">
      <c r="A267" s="17"/>
      <c r="B267" s="17"/>
      <c r="C267" s="17"/>
      <c r="D267" s="17"/>
      <c r="E267" s="20">
        <f>IFERROR(SUMIF(RECETAS!$B:$B,B267,RECETAS!$H:$H),0)</f>
        <v>0</v>
      </c>
      <c r="F267" s="17"/>
      <c r="G267" s="17"/>
      <c r="H267" s="17"/>
      <c r="I267" s="17"/>
      <c r="J267" s="18">
        <f t="shared" si="22"/>
        <v>0</v>
      </c>
      <c r="K267" s="20">
        <f>IFERROR(CONFIGURACION!$B$5,0)</f>
        <v>4000</v>
      </c>
      <c r="L267" s="20">
        <f t="shared" si="23"/>
        <v>0</v>
      </c>
      <c r="M267" s="42">
        <f>IFERROR(CONFIGURACION!$B$9,0)</f>
        <v>0.15</v>
      </c>
      <c r="N267" s="20">
        <f t="shared" si="24"/>
        <v>0</v>
      </c>
      <c r="AO267" s="26">
        <f t="shared" si="25"/>
        <v>0</v>
      </c>
      <c r="AP267" s="20">
        <f>IFERROR(ROUNDUP(O267/(1-CONFIGURACION!$B$6),0),0)</f>
        <v>0</v>
      </c>
      <c r="AQ267" s="26">
        <f>IFERROR(ROUNDUP(O267/(1-CONFIGURACION!$B$7),0),0)</f>
        <v>0</v>
      </c>
      <c r="AR267" s="20">
        <f>IFERROR(ROUNDUP(O267/(1-CONFIGURACION!$B$8),0),0)</f>
        <v>0</v>
      </c>
      <c r="AS267" s="43"/>
      <c r="AT267" s="30">
        <f t="shared" si="26"/>
        <v>0</v>
      </c>
      <c r="AU267" s="18"/>
    </row>
    <row r="268" spans="1:47">
      <c r="A268" s="17"/>
      <c r="B268" s="17"/>
      <c r="C268" s="17"/>
      <c r="D268" s="17"/>
      <c r="E268" s="20">
        <f>IFERROR(SUMIF(RECETAS!$B:$B,B268,RECETAS!$H:$H),0)</f>
        <v>0</v>
      </c>
      <c r="F268" s="17"/>
      <c r="G268" s="17"/>
      <c r="H268" s="17"/>
      <c r="I268" s="17"/>
      <c r="J268" s="18">
        <f t="shared" si="22"/>
        <v>0</v>
      </c>
      <c r="K268" s="20">
        <f>IFERROR(CONFIGURACION!$B$5,0)</f>
        <v>4000</v>
      </c>
      <c r="L268" s="20">
        <f t="shared" si="23"/>
        <v>0</v>
      </c>
      <c r="M268" s="42">
        <f>IFERROR(CONFIGURACION!$B$9,0)</f>
        <v>0.15</v>
      </c>
      <c r="N268" s="20">
        <f t="shared" si="24"/>
        <v>0</v>
      </c>
      <c r="AO268" s="26">
        <f t="shared" si="25"/>
        <v>0</v>
      </c>
      <c r="AP268" s="20">
        <f>IFERROR(ROUNDUP(O268/(1-CONFIGURACION!$B$6),0),0)</f>
        <v>0</v>
      </c>
      <c r="AQ268" s="26">
        <f>IFERROR(ROUNDUP(O268/(1-CONFIGURACION!$B$7),0),0)</f>
        <v>0</v>
      </c>
      <c r="AR268" s="20">
        <f>IFERROR(ROUNDUP(O268/(1-CONFIGURACION!$B$8),0),0)</f>
        <v>0</v>
      </c>
      <c r="AS268" s="43"/>
      <c r="AT268" s="30">
        <f t="shared" si="26"/>
        <v>0</v>
      </c>
      <c r="AU268" s="18"/>
    </row>
    <row r="269" spans="1:47">
      <c r="A269" s="17"/>
      <c r="B269" s="17"/>
      <c r="C269" s="17"/>
      <c r="D269" s="17"/>
      <c r="E269" s="20">
        <f>IFERROR(SUMIF(RECETAS!$B:$B,B269,RECETAS!$H:$H),0)</f>
        <v>0</v>
      </c>
      <c r="F269" s="17"/>
      <c r="G269" s="17"/>
      <c r="H269" s="17"/>
      <c r="I269" s="17"/>
      <c r="J269" s="18">
        <f t="shared" si="22"/>
        <v>0</v>
      </c>
      <c r="K269" s="20">
        <f>IFERROR(CONFIGURACION!$B$5,0)</f>
        <v>4000</v>
      </c>
      <c r="L269" s="20">
        <f t="shared" si="23"/>
        <v>0</v>
      </c>
      <c r="M269" s="42">
        <f>IFERROR(CONFIGURACION!$B$9,0)</f>
        <v>0.15</v>
      </c>
      <c r="N269" s="20">
        <f t="shared" si="24"/>
        <v>0</v>
      </c>
      <c r="AO269" s="26">
        <f t="shared" si="25"/>
        <v>0</v>
      </c>
      <c r="AP269" s="20">
        <f>IFERROR(ROUNDUP(O269/(1-CONFIGURACION!$B$6),0),0)</f>
        <v>0</v>
      </c>
      <c r="AQ269" s="26">
        <f>IFERROR(ROUNDUP(O269/(1-CONFIGURACION!$B$7),0),0)</f>
        <v>0</v>
      </c>
      <c r="AR269" s="20">
        <f>IFERROR(ROUNDUP(O269/(1-CONFIGURACION!$B$8),0),0)</f>
        <v>0</v>
      </c>
      <c r="AS269" s="43"/>
      <c r="AT269" s="30">
        <f t="shared" si="26"/>
        <v>0</v>
      </c>
      <c r="AU269" s="18"/>
    </row>
    <row r="270" spans="1:47">
      <c r="A270" s="17"/>
      <c r="B270" s="17"/>
      <c r="C270" s="17"/>
      <c r="D270" s="17"/>
      <c r="E270" s="20">
        <f>IFERROR(SUMIF(RECETAS!$B:$B,B270,RECETAS!$H:$H),0)</f>
        <v>0</v>
      </c>
      <c r="F270" s="17"/>
      <c r="G270" s="17"/>
      <c r="H270" s="17"/>
      <c r="I270" s="17"/>
      <c r="J270" s="18">
        <f t="shared" si="22"/>
        <v>0</v>
      </c>
      <c r="K270" s="20">
        <f>IFERROR(CONFIGURACION!$B$5,0)</f>
        <v>4000</v>
      </c>
      <c r="L270" s="20">
        <f t="shared" si="23"/>
        <v>0</v>
      </c>
      <c r="M270" s="42">
        <f>IFERROR(CONFIGURACION!$B$9,0)</f>
        <v>0.15</v>
      </c>
      <c r="N270" s="20">
        <f t="shared" si="24"/>
        <v>0</v>
      </c>
      <c r="AO270" s="26">
        <f t="shared" si="25"/>
        <v>0</v>
      </c>
      <c r="AP270" s="20">
        <f>IFERROR(ROUNDUP(O270/(1-CONFIGURACION!$B$6),0),0)</f>
        <v>0</v>
      </c>
      <c r="AQ270" s="26">
        <f>IFERROR(ROUNDUP(O270/(1-CONFIGURACION!$B$7),0),0)</f>
        <v>0</v>
      </c>
      <c r="AR270" s="20">
        <f>IFERROR(ROUNDUP(O270/(1-CONFIGURACION!$B$8),0),0)</f>
        <v>0</v>
      </c>
      <c r="AS270" s="43"/>
      <c r="AT270" s="30">
        <f t="shared" si="26"/>
        <v>0</v>
      </c>
      <c r="AU270" s="18"/>
    </row>
    <row r="271" spans="1:47">
      <c r="A271" s="17"/>
      <c r="B271" s="17"/>
      <c r="C271" s="17"/>
      <c r="D271" s="17"/>
      <c r="E271" s="20">
        <f>IFERROR(SUMIF(RECETAS!$B:$B,B271,RECETAS!$H:$H),0)</f>
        <v>0</v>
      </c>
      <c r="F271" s="17"/>
      <c r="G271" s="17"/>
      <c r="H271" s="17"/>
      <c r="I271" s="17"/>
      <c r="J271" s="18">
        <f t="shared" si="22"/>
        <v>0</v>
      </c>
      <c r="K271" s="20">
        <f>IFERROR(CONFIGURACION!$B$5,0)</f>
        <v>4000</v>
      </c>
      <c r="L271" s="20">
        <f t="shared" si="23"/>
        <v>0</v>
      </c>
      <c r="M271" s="42">
        <f>IFERROR(CONFIGURACION!$B$9,0)</f>
        <v>0.15</v>
      </c>
      <c r="N271" s="20">
        <f t="shared" si="24"/>
        <v>0</v>
      </c>
      <c r="AO271" s="26">
        <f t="shared" si="25"/>
        <v>0</v>
      </c>
      <c r="AP271" s="20">
        <f>IFERROR(ROUNDUP(O271/(1-CONFIGURACION!$B$6),0),0)</f>
        <v>0</v>
      </c>
      <c r="AQ271" s="26">
        <f>IFERROR(ROUNDUP(O271/(1-CONFIGURACION!$B$7),0),0)</f>
        <v>0</v>
      </c>
      <c r="AR271" s="20">
        <f>IFERROR(ROUNDUP(O271/(1-CONFIGURACION!$B$8),0),0)</f>
        <v>0</v>
      </c>
      <c r="AS271" s="43"/>
      <c r="AT271" s="30">
        <f t="shared" si="26"/>
        <v>0</v>
      </c>
      <c r="AU271" s="18"/>
    </row>
    <row r="272" spans="1:47">
      <c r="A272" s="17"/>
      <c r="B272" s="17"/>
      <c r="C272" s="17"/>
      <c r="D272" s="17"/>
      <c r="E272" s="20">
        <f>IFERROR(SUMIF(RECETAS!$B:$B,B272,RECETAS!$H:$H),0)</f>
        <v>0</v>
      </c>
      <c r="F272" s="17"/>
      <c r="G272" s="17"/>
      <c r="H272" s="17"/>
      <c r="I272" s="17"/>
      <c r="J272" s="18">
        <f t="shared" si="22"/>
        <v>0</v>
      </c>
      <c r="K272" s="20">
        <f>IFERROR(CONFIGURACION!$B$5,0)</f>
        <v>4000</v>
      </c>
      <c r="L272" s="20">
        <f t="shared" si="23"/>
        <v>0</v>
      </c>
      <c r="M272" s="42">
        <f>IFERROR(CONFIGURACION!$B$9,0)</f>
        <v>0.15</v>
      </c>
      <c r="N272" s="20">
        <f t="shared" si="24"/>
        <v>0</v>
      </c>
      <c r="AO272" s="26">
        <f t="shared" si="25"/>
        <v>0</v>
      </c>
      <c r="AP272" s="20">
        <f>IFERROR(ROUNDUP(O272/(1-CONFIGURACION!$B$6),0),0)</f>
        <v>0</v>
      </c>
      <c r="AQ272" s="26">
        <f>IFERROR(ROUNDUP(O272/(1-CONFIGURACION!$B$7),0),0)</f>
        <v>0</v>
      </c>
      <c r="AR272" s="20">
        <f>IFERROR(ROUNDUP(O272/(1-CONFIGURACION!$B$8),0),0)</f>
        <v>0</v>
      </c>
      <c r="AS272" s="43"/>
      <c r="AT272" s="30">
        <f t="shared" si="26"/>
        <v>0</v>
      </c>
      <c r="AU272" s="18"/>
    </row>
    <row r="273" spans="1:47">
      <c r="A273" s="17"/>
      <c r="B273" s="17"/>
      <c r="C273" s="17"/>
      <c r="D273" s="17"/>
      <c r="E273" s="20">
        <f>IFERROR(SUMIF(RECETAS!$B:$B,B273,RECETAS!$H:$H),0)</f>
        <v>0</v>
      </c>
      <c r="F273" s="17"/>
      <c r="G273" s="17"/>
      <c r="H273" s="17"/>
      <c r="I273" s="17"/>
      <c r="J273" s="18">
        <f t="shared" si="22"/>
        <v>0</v>
      </c>
      <c r="K273" s="20">
        <f>IFERROR(CONFIGURACION!$B$5,0)</f>
        <v>4000</v>
      </c>
      <c r="L273" s="20">
        <f t="shared" si="23"/>
        <v>0</v>
      </c>
      <c r="M273" s="42">
        <f>IFERROR(CONFIGURACION!$B$9,0)</f>
        <v>0.15</v>
      </c>
      <c r="N273" s="20">
        <f t="shared" si="24"/>
        <v>0</v>
      </c>
      <c r="AO273" s="26">
        <f t="shared" si="25"/>
        <v>0</v>
      </c>
      <c r="AP273" s="20">
        <f>IFERROR(ROUNDUP(O273/(1-CONFIGURACION!$B$6),0),0)</f>
        <v>0</v>
      </c>
      <c r="AQ273" s="26">
        <f>IFERROR(ROUNDUP(O273/(1-CONFIGURACION!$B$7),0),0)</f>
        <v>0</v>
      </c>
      <c r="AR273" s="20">
        <f>IFERROR(ROUNDUP(O273/(1-CONFIGURACION!$B$8),0),0)</f>
        <v>0</v>
      </c>
      <c r="AS273" s="43"/>
      <c r="AT273" s="30">
        <f t="shared" si="26"/>
        <v>0</v>
      </c>
      <c r="AU273" s="18"/>
    </row>
    <row r="274" spans="1:47">
      <c r="A274" s="17"/>
      <c r="B274" s="17"/>
      <c r="C274" s="17"/>
      <c r="D274" s="17"/>
      <c r="E274" s="20">
        <f>IFERROR(SUMIF(RECETAS!$B:$B,B274,RECETAS!$H:$H),0)</f>
        <v>0</v>
      </c>
      <c r="F274" s="17"/>
      <c r="G274" s="17"/>
      <c r="H274" s="17"/>
      <c r="I274" s="17"/>
      <c r="J274" s="18">
        <f t="shared" si="22"/>
        <v>0</v>
      </c>
      <c r="K274" s="20">
        <f>IFERROR(CONFIGURACION!$B$5,0)</f>
        <v>4000</v>
      </c>
      <c r="L274" s="20">
        <f t="shared" si="23"/>
        <v>0</v>
      </c>
      <c r="M274" s="42">
        <f>IFERROR(CONFIGURACION!$B$9,0)</f>
        <v>0.15</v>
      </c>
      <c r="N274" s="20">
        <f t="shared" si="24"/>
        <v>0</v>
      </c>
      <c r="AO274" s="26">
        <f t="shared" si="25"/>
        <v>0</v>
      </c>
      <c r="AP274" s="20">
        <f>IFERROR(ROUNDUP(O274/(1-CONFIGURACION!$B$6),0),0)</f>
        <v>0</v>
      </c>
      <c r="AQ274" s="26">
        <f>IFERROR(ROUNDUP(O274/(1-CONFIGURACION!$B$7),0),0)</f>
        <v>0</v>
      </c>
      <c r="AR274" s="20">
        <f>IFERROR(ROUNDUP(O274/(1-CONFIGURACION!$B$8),0),0)</f>
        <v>0</v>
      </c>
      <c r="AS274" s="43"/>
      <c r="AT274" s="30">
        <f t="shared" si="26"/>
        <v>0</v>
      </c>
      <c r="AU274" s="18"/>
    </row>
    <row r="275" spans="1:47">
      <c r="A275" s="17"/>
      <c r="B275" s="17"/>
      <c r="C275" s="17"/>
      <c r="D275" s="17"/>
      <c r="E275" s="20">
        <f>IFERROR(SUMIF(RECETAS!$B:$B,B275,RECETAS!$H:$H),0)</f>
        <v>0</v>
      </c>
      <c r="F275" s="17"/>
      <c r="G275" s="17"/>
      <c r="H275" s="17"/>
      <c r="I275" s="17"/>
      <c r="J275" s="18">
        <f t="shared" si="22"/>
        <v>0</v>
      </c>
      <c r="K275" s="20">
        <f>IFERROR(CONFIGURACION!$B$5,0)</f>
        <v>4000</v>
      </c>
      <c r="L275" s="20">
        <f t="shared" si="23"/>
        <v>0</v>
      </c>
      <c r="M275" s="42">
        <f>IFERROR(CONFIGURACION!$B$9,0)</f>
        <v>0.15</v>
      </c>
      <c r="N275" s="20">
        <f t="shared" si="24"/>
        <v>0</v>
      </c>
      <c r="AO275" s="26">
        <f t="shared" si="25"/>
        <v>0</v>
      </c>
      <c r="AP275" s="20">
        <f>IFERROR(ROUNDUP(O275/(1-CONFIGURACION!$B$6),0),0)</f>
        <v>0</v>
      </c>
      <c r="AQ275" s="26">
        <f>IFERROR(ROUNDUP(O275/(1-CONFIGURACION!$B$7),0),0)</f>
        <v>0</v>
      </c>
      <c r="AR275" s="20">
        <f>IFERROR(ROUNDUP(O275/(1-CONFIGURACION!$B$8),0),0)</f>
        <v>0</v>
      </c>
      <c r="AS275" s="43"/>
      <c r="AT275" s="30">
        <f t="shared" si="26"/>
        <v>0</v>
      </c>
      <c r="AU275" s="18"/>
    </row>
    <row r="276" spans="1:47">
      <c r="A276" s="17"/>
      <c r="B276" s="17"/>
      <c r="C276" s="17"/>
      <c r="D276" s="17"/>
      <c r="E276" s="20">
        <f>IFERROR(SUMIF(RECETAS!$B:$B,B276,RECETAS!$H:$H),0)</f>
        <v>0</v>
      </c>
      <c r="F276" s="17"/>
      <c r="G276" s="17"/>
      <c r="H276" s="17"/>
      <c r="I276" s="17"/>
      <c r="J276" s="18">
        <f t="shared" si="22"/>
        <v>0</v>
      </c>
      <c r="K276" s="20">
        <f>IFERROR(CONFIGURACION!$B$5,0)</f>
        <v>4000</v>
      </c>
      <c r="L276" s="20">
        <f t="shared" si="23"/>
        <v>0</v>
      </c>
      <c r="M276" s="42">
        <f>IFERROR(CONFIGURACION!$B$9,0)</f>
        <v>0.15</v>
      </c>
      <c r="N276" s="20">
        <f t="shared" si="24"/>
        <v>0</v>
      </c>
      <c r="AO276" s="26">
        <f t="shared" si="25"/>
        <v>0</v>
      </c>
      <c r="AP276" s="20">
        <f>IFERROR(ROUNDUP(O276/(1-CONFIGURACION!$B$6),0),0)</f>
        <v>0</v>
      </c>
      <c r="AQ276" s="26">
        <f>IFERROR(ROUNDUP(O276/(1-CONFIGURACION!$B$7),0),0)</f>
        <v>0</v>
      </c>
      <c r="AR276" s="20">
        <f>IFERROR(ROUNDUP(O276/(1-CONFIGURACION!$B$8),0),0)</f>
        <v>0</v>
      </c>
      <c r="AS276" s="43"/>
      <c r="AT276" s="30">
        <f t="shared" si="26"/>
        <v>0</v>
      </c>
      <c r="AU276" s="18"/>
    </row>
    <row r="277" spans="1:47">
      <c r="A277" s="17"/>
      <c r="B277" s="17"/>
      <c r="C277" s="17"/>
      <c r="D277" s="17"/>
      <c r="E277" s="20">
        <f>IFERROR(SUMIF(RECETAS!$B:$B,B277,RECETAS!$H:$H),0)</f>
        <v>0</v>
      </c>
      <c r="F277" s="17"/>
      <c r="G277" s="17"/>
      <c r="H277" s="17"/>
      <c r="I277" s="17"/>
      <c r="J277" s="18">
        <f t="shared" si="22"/>
        <v>0</v>
      </c>
      <c r="K277" s="20">
        <f>IFERROR(CONFIGURACION!$B$5,0)</f>
        <v>4000</v>
      </c>
      <c r="L277" s="20">
        <f t="shared" si="23"/>
        <v>0</v>
      </c>
      <c r="M277" s="42">
        <f>IFERROR(CONFIGURACION!$B$9,0)</f>
        <v>0.15</v>
      </c>
      <c r="N277" s="20">
        <f t="shared" si="24"/>
        <v>0</v>
      </c>
      <c r="AO277" s="26">
        <f t="shared" si="25"/>
        <v>0</v>
      </c>
      <c r="AP277" s="20">
        <f>IFERROR(ROUNDUP(O277/(1-CONFIGURACION!$B$6),0),0)</f>
        <v>0</v>
      </c>
      <c r="AQ277" s="26">
        <f>IFERROR(ROUNDUP(O277/(1-CONFIGURACION!$B$7),0),0)</f>
        <v>0</v>
      </c>
      <c r="AR277" s="20">
        <f>IFERROR(ROUNDUP(O277/(1-CONFIGURACION!$B$8),0),0)</f>
        <v>0</v>
      </c>
      <c r="AS277" s="43"/>
      <c r="AT277" s="30">
        <f t="shared" si="26"/>
        <v>0</v>
      </c>
      <c r="AU277" s="18"/>
    </row>
    <row r="278" spans="1:47">
      <c r="A278" s="17"/>
      <c r="B278" s="17"/>
      <c r="C278" s="17"/>
      <c r="D278" s="17"/>
      <c r="E278" s="20">
        <f>IFERROR(SUMIF(RECETAS!$B:$B,B278,RECETAS!$H:$H),0)</f>
        <v>0</v>
      </c>
      <c r="F278" s="17"/>
      <c r="G278" s="17"/>
      <c r="H278" s="17"/>
      <c r="I278" s="17"/>
      <c r="J278" s="18">
        <f t="shared" si="22"/>
        <v>0</v>
      </c>
      <c r="K278" s="20">
        <f>IFERROR(CONFIGURACION!$B$5,0)</f>
        <v>4000</v>
      </c>
      <c r="L278" s="20">
        <f t="shared" si="23"/>
        <v>0</v>
      </c>
      <c r="M278" s="42">
        <f>IFERROR(CONFIGURACION!$B$9,0)</f>
        <v>0.15</v>
      </c>
      <c r="N278" s="20">
        <f t="shared" si="24"/>
        <v>0</v>
      </c>
      <c r="AO278" s="26">
        <f t="shared" si="25"/>
        <v>0</v>
      </c>
      <c r="AP278" s="20">
        <f>IFERROR(ROUNDUP(O278/(1-CONFIGURACION!$B$6),0),0)</f>
        <v>0</v>
      </c>
      <c r="AQ278" s="26">
        <f>IFERROR(ROUNDUP(O278/(1-CONFIGURACION!$B$7),0),0)</f>
        <v>0</v>
      </c>
      <c r="AR278" s="20">
        <f>IFERROR(ROUNDUP(O278/(1-CONFIGURACION!$B$8),0),0)</f>
        <v>0</v>
      </c>
      <c r="AS278" s="43"/>
      <c r="AT278" s="30">
        <f t="shared" si="26"/>
        <v>0</v>
      </c>
      <c r="AU278" s="18"/>
    </row>
    <row r="279" spans="1:47">
      <c r="A279" s="17"/>
      <c r="B279" s="17"/>
      <c r="C279" s="17"/>
      <c r="D279" s="17"/>
      <c r="E279" s="20">
        <f>IFERROR(SUMIF(RECETAS!$B:$B,B279,RECETAS!$H:$H),0)</f>
        <v>0</v>
      </c>
      <c r="F279" s="17"/>
      <c r="G279" s="17"/>
      <c r="H279" s="17"/>
      <c r="I279" s="17"/>
      <c r="J279" s="18">
        <f t="shared" si="22"/>
        <v>0</v>
      </c>
      <c r="K279" s="20">
        <f>IFERROR(CONFIGURACION!$B$5,0)</f>
        <v>4000</v>
      </c>
      <c r="L279" s="20">
        <f t="shared" si="23"/>
        <v>0</v>
      </c>
      <c r="M279" s="42">
        <f>IFERROR(CONFIGURACION!$B$9,0)</f>
        <v>0.15</v>
      </c>
      <c r="N279" s="20">
        <f t="shared" si="24"/>
        <v>0</v>
      </c>
      <c r="AO279" s="26">
        <f t="shared" si="25"/>
        <v>0</v>
      </c>
      <c r="AP279" s="20">
        <f>IFERROR(ROUNDUP(O279/(1-CONFIGURACION!$B$6),0),0)</f>
        <v>0</v>
      </c>
      <c r="AQ279" s="26">
        <f>IFERROR(ROUNDUP(O279/(1-CONFIGURACION!$B$7),0),0)</f>
        <v>0</v>
      </c>
      <c r="AR279" s="20">
        <f>IFERROR(ROUNDUP(O279/(1-CONFIGURACION!$B$8),0),0)</f>
        <v>0</v>
      </c>
      <c r="AS279" s="43"/>
      <c r="AT279" s="30">
        <f t="shared" si="26"/>
        <v>0</v>
      </c>
      <c r="AU279" s="18"/>
    </row>
    <row r="280" spans="1:47">
      <c r="A280" s="17"/>
      <c r="B280" s="17"/>
      <c r="C280" s="17"/>
      <c r="D280" s="17"/>
      <c r="E280" s="20">
        <f>IFERROR(SUMIF(RECETAS!$B:$B,B280,RECETAS!$H:$H),0)</f>
        <v>0</v>
      </c>
      <c r="F280" s="17"/>
      <c r="G280" s="17"/>
      <c r="H280" s="17"/>
      <c r="I280" s="17"/>
      <c r="J280" s="18">
        <f t="shared" si="22"/>
        <v>0</v>
      </c>
      <c r="K280" s="20">
        <f>IFERROR(CONFIGURACION!$B$5,0)</f>
        <v>4000</v>
      </c>
      <c r="L280" s="20">
        <f t="shared" si="23"/>
        <v>0</v>
      </c>
      <c r="M280" s="42">
        <f>IFERROR(CONFIGURACION!$B$9,0)</f>
        <v>0.15</v>
      </c>
      <c r="N280" s="20">
        <f t="shared" si="24"/>
        <v>0</v>
      </c>
      <c r="AO280" s="26">
        <f t="shared" si="25"/>
        <v>0</v>
      </c>
      <c r="AP280" s="20">
        <f>IFERROR(ROUNDUP(O280/(1-CONFIGURACION!$B$6),0),0)</f>
        <v>0</v>
      </c>
      <c r="AQ280" s="26">
        <f>IFERROR(ROUNDUP(O280/(1-CONFIGURACION!$B$7),0),0)</f>
        <v>0</v>
      </c>
      <c r="AR280" s="20">
        <f>IFERROR(ROUNDUP(O280/(1-CONFIGURACION!$B$8),0),0)</f>
        <v>0</v>
      </c>
      <c r="AS280" s="43"/>
      <c r="AT280" s="30">
        <f t="shared" si="26"/>
        <v>0</v>
      </c>
      <c r="AU280" s="18"/>
    </row>
    <row r="281" spans="1:47">
      <c r="A281" s="17"/>
      <c r="B281" s="17"/>
      <c r="C281" s="17"/>
      <c r="D281" s="17"/>
      <c r="E281" s="20">
        <f>IFERROR(SUMIF(RECETAS!$B:$B,B281,RECETAS!$H:$H),0)</f>
        <v>0</v>
      </c>
      <c r="F281" s="17"/>
      <c r="G281" s="17"/>
      <c r="H281" s="17"/>
      <c r="I281" s="17"/>
      <c r="J281" s="18">
        <f t="shared" si="22"/>
        <v>0</v>
      </c>
      <c r="K281" s="20">
        <f>IFERROR(CONFIGURACION!$B$5,0)</f>
        <v>4000</v>
      </c>
      <c r="L281" s="20">
        <f t="shared" si="23"/>
        <v>0</v>
      </c>
      <c r="M281" s="42">
        <f>IFERROR(CONFIGURACION!$B$9,0)</f>
        <v>0.15</v>
      </c>
      <c r="N281" s="20">
        <f t="shared" si="24"/>
        <v>0</v>
      </c>
      <c r="AO281" s="26">
        <f t="shared" si="25"/>
        <v>0</v>
      </c>
      <c r="AP281" s="20">
        <f>IFERROR(ROUNDUP(O281/(1-CONFIGURACION!$B$6),0),0)</f>
        <v>0</v>
      </c>
      <c r="AQ281" s="26">
        <f>IFERROR(ROUNDUP(O281/(1-CONFIGURACION!$B$7),0),0)</f>
        <v>0</v>
      </c>
      <c r="AR281" s="20">
        <f>IFERROR(ROUNDUP(O281/(1-CONFIGURACION!$B$8),0),0)</f>
        <v>0</v>
      </c>
      <c r="AS281" s="43"/>
      <c r="AT281" s="30">
        <f t="shared" si="26"/>
        <v>0</v>
      </c>
      <c r="AU281" s="18"/>
    </row>
    <row r="282" spans="1:47">
      <c r="A282" s="17"/>
      <c r="B282" s="17"/>
      <c r="C282" s="17"/>
      <c r="D282" s="17"/>
      <c r="E282" s="20">
        <f>IFERROR(SUMIF(RECETAS!$B:$B,B282,RECETAS!$H:$H),0)</f>
        <v>0</v>
      </c>
      <c r="F282" s="17"/>
      <c r="G282" s="17"/>
      <c r="H282" s="17"/>
      <c r="I282" s="17"/>
      <c r="J282" s="18">
        <f t="shared" si="22"/>
        <v>0</v>
      </c>
      <c r="K282" s="20">
        <f>IFERROR(CONFIGURACION!$B$5,0)</f>
        <v>4000</v>
      </c>
      <c r="L282" s="20">
        <f t="shared" si="23"/>
        <v>0</v>
      </c>
      <c r="M282" s="42">
        <f>IFERROR(CONFIGURACION!$B$9,0)</f>
        <v>0.15</v>
      </c>
      <c r="N282" s="20">
        <f t="shared" si="24"/>
        <v>0</v>
      </c>
      <c r="AO282" s="26">
        <f t="shared" si="25"/>
        <v>0</v>
      </c>
      <c r="AP282" s="20">
        <f>IFERROR(ROUNDUP(O282/(1-CONFIGURACION!$B$6),0),0)</f>
        <v>0</v>
      </c>
      <c r="AQ282" s="26">
        <f>IFERROR(ROUNDUP(O282/(1-CONFIGURACION!$B$7),0),0)</f>
        <v>0</v>
      </c>
      <c r="AR282" s="20">
        <f>IFERROR(ROUNDUP(O282/(1-CONFIGURACION!$B$8),0),0)</f>
        <v>0</v>
      </c>
      <c r="AS282" s="43"/>
      <c r="AT282" s="30">
        <f t="shared" si="26"/>
        <v>0</v>
      </c>
      <c r="AU282" s="18"/>
    </row>
    <row r="283" spans="1:47">
      <c r="A283" s="17"/>
      <c r="B283" s="17"/>
      <c r="C283" s="17"/>
      <c r="D283" s="17"/>
      <c r="E283" s="20">
        <f>IFERROR(SUMIF(RECETAS!$B:$B,B283,RECETAS!$H:$H),0)</f>
        <v>0</v>
      </c>
      <c r="F283" s="17"/>
      <c r="G283" s="17"/>
      <c r="H283" s="17"/>
      <c r="I283" s="17"/>
      <c r="J283" s="18">
        <f t="shared" si="22"/>
        <v>0</v>
      </c>
      <c r="K283" s="20">
        <f>IFERROR(CONFIGURACION!$B$5,0)</f>
        <v>4000</v>
      </c>
      <c r="L283" s="20">
        <f t="shared" si="23"/>
        <v>0</v>
      </c>
      <c r="M283" s="42">
        <f>IFERROR(CONFIGURACION!$B$9,0)</f>
        <v>0.15</v>
      </c>
      <c r="N283" s="20">
        <f t="shared" si="24"/>
        <v>0</v>
      </c>
      <c r="AO283" s="26">
        <f t="shared" si="25"/>
        <v>0</v>
      </c>
      <c r="AP283" s="20">
        <f>IFERROR(ROUNDUP(O283/(1-CONFIGURACION!$B$6),0),0)</f>
        <v>0</v>
      </c>
      <c r="AQ283" s="26">
        <f>IFERROR(ROUNDUP(O283/(1-CONFIGURACION!$B$7),0),0)</f>
        <v>0</v>
      </c>
      <c r="AR283" s="20">
        <f>IFERROR(ROUNDUP(O283/(1-CONFIGURACION!$B$8),0),0)</f>
        <v>0</v>
      </c>
      <c r="AS283" s="43"/>
      <c r="AT283" s="30">
        <f t="shared" si="26"/>
        <v>0</v>
      </c>
      <c r="AU283" s="18"/>
    </row>
    <row r="284" spans="1:47">
      <c r="A284" s="17"/>
      <c r="B284" s="17"/>
      <c r="C284" s="17"/>
      <c r="D284" s="17"/>
      <c r="E284" s="20">
        <f>IFERROR(SUMIF(RECETAS!$B:$B,B284,RECETAS!$H:$H),0)</f>
        <v>0</v>
      </c>
      <c r="F284" s="17"/>
      <c r="G284" s="17"/>
      <c r="H284" s="17"/>
      <c r="I284" s="17"/>
      <c r="J284" s="18">
        <f t="shared" si="22"/>
        <v>0</v>
      </c>
      <c r="K284" s="20">
        <f>IFERROR(CONFIGURACION!$B$5,0)</f>
        <v>4000</v>
      </c>
      <c r="L284" s="20">
        <f t="shared" si="23"/>
        <v>0</v>
      </c>
      <c r="M284" s="42">
        <f>IFERROR(CONFIGURACION!$B$9,0)</f>
        <v>0.15</v>
      </c>
      <c r="N284" s="20">
        <f t="shared" si="24"/>
        <v>0</v>
      </c>
      <c r="AO284" s="26">
        <f t="shared" si="25"/>
        <v>0</v>
      </c>
      <c r="AP284" s="20">
        <f>IFERROR(ROUNDUP(O284/(1-CONFIGURACION!$B$6),0),0)</f>
        <v>0</v>
      </c>
      <c r="AQ284" s="26">
        <f>IFERROR(ROUNDUP(O284/(1-CONFIGURACION!$B$7),0),0)</f>
        <v>0</v>
      </c>
      <c r="AR284" s="20">
        <f>IFERROR(ROUNDUP(O284/(1-CONFIGURACION!$B$8),0),0)</f>
        <v>0</v>
      </c>
      <c r="AS284" s="43"/>
      <c r="AT284" s="30">
        <f t="shared" si="26"/>
        <v>0</v>
      </c>
      <c r="AU284" s="18"/>
    </row>
    <row r="285" spans="1:47">
      <c r="A285" s="17"/>
      <c r="B285" s="17"/>
      <c r="C285" s="17"/>
      <c r="D285" s="17"/>
      <c r="E285" s="20">
        <f>IFERROR(SUMIF(RECETAS!$B:$B,B285,RECETAS!$H:$H),0)</f>
        <v>0</v>
      </c>
      <c r="F285" s="17"/>
      <c r="G285" s="17"/>
      <c r="H285" s="17"/>
      <c r="I285" s="17"/>
      <c r="J285" s="18">
        <f t="shared" si="22"/>
        <v>0</v>
      </c>
      <c r="K285" s="20">
        <f>IFERROR(CONFIGURACION!$B$5,0)</f>
        <v>4000</v>
      </c>
      <c r="L285" s="20">
        <f t="shared" si="23"/>
        <v>0</v>
      </c>
      <c r="M285" s="42">
        <f>IFERROR(CONFIGURACION!$B$9,0)</f>
        <v>0.15</v>
      </c>
      <c r="N285" s="20">
        <f t="shared" si="24"/>
        <v>0</v>
      </c>
      <c r="AO285" s="26">
        <f t="shared" si="25"/>
        <v>0</v>
      </c>
      <c r="AP285" s="20">
        <f>IFERROR(ROUNDUP(O285/(1-CONFIGURACION!$B$6),0),0)</f>
        <v>0</v>
      </c>
      <c r="AQ285" s="26">
        <f>IFERROR(ROUNDUP(O285/(1-CONFIGURACION!$B$7),0),0)</f>
        <v>0</v>
      </c>
      <c r="AR285" s="20">
        <f>IFERROR(ROUNDUP(O285/(1-CONFIGURACION!$B$8),0),0)</f>
        <v>0</v>
      </c>
      <c r="AS285" s="43"/>
      <c r="AT285" s="30">
        <f t="shared" si="26"/>
        <v>0</v>
      </c>
      <c r="AU285" s="18"/>
    </row>
    <row r="286" spans="1:47">
      <c r="A286" s="17"/>
      <c r="B286" s="17"/>
      <c r="C286" s="17"/>
      <c r="D286" s="17"/>
      <c r="E286" s="20">
        <f>IFERROR(SUMIF(RECETAS!$B:$B,B286,RECETAS!$H:$H),0)</f>
        <v>0</v>
      </c>
      <c r="F286" s="17"/>
      <c r="G286" s="17"/>
      <c r="H286" s="17"/>
      <c r="I286" s="17"/>
      <c r="J286" s="18">
        <f t="shared" si="22"/>
        <v>0</v>
      </c>
      <c r="K286" s="20">
        <f>IFERROR(CONFIGURACION!$B$5,0)</f>
        <v>4000</v>
      </c>
      <c r="L286" s="20">
        <f t="shared" si="23"/>
        <v>0</v>
      </c>
      <c r="M286" s="42">
        <f>IFERROR(CONFIGURACION!$B$9,0)</f>
        <v>0.15</v>
      </c>
      <c r="N286" s="20">
        <f t="shared" si="24"/>
        <v>0</v>
      </c>
      <c r="AO286" s="26">
        <f t="shared" si="25"/>
        <v>0</v>
      </c>
      <c r="AP286" s="20">
        <f>IFERROR(ROUNDUP(O286/(1-CONFIGURACION!$B$6),0),0)</f>
        <v>0</v>
      </c>
      <c r="AQ286" s="26">
        <f>IFERROR(ROUNDUP(O286/(1-CONFIGURACION!$B$7),0),0)</f>
        <v>0</v>
      </c>
      <c r="AR286" s="20">
        <f>IFERROR(ROUNDUP(O286/(1-CONFIGURACION!$B$8),0),0)</f>
        <v>0</v>
      </c>
      <c r="AS286" s="43"/>
      <c r="AT286" s="30">
        <f t="shared" si="26"/>
        <v>0</v>
      </c>
      <c r="AU286" s="18"/>
    </row>
    <row r="287" spans="1:47">
      <c r="A287" s="17"/>
      <c r="B287" s="17"/>
      <c r="C287" s="17"/>
      <c r="D287" s="17"/>
      <c r="E287" s="20">
        <f>IFERROR(SUMIF(RECETAS!$B:$B,B287,RECETAS!$H:$H),0)</f>
        <v>0</v>
      </c>
      <c r="F287" s="17"/>
      <c r="G287" s="17"/>
      <c r="H287" s="17"/>
      <c r="I287" s="17"/>
      <c r="J287" s="18">
        <f t="shared" si="22"/>
        <v>0</v>
      </c>
      <c r="K287" s="20">
        <f>IFERROR(CONFIGURACION!$B$5,0)</f>
        <v>4000</v>
      </c>
      <c r="L287" s="20">
        <f t="shared" si="23"/>
        <v>0</v>
      </c>
      <c r="M287" s="42">
        <f>IFERROR(CONFIGURACION!$B$9,0)</f>
        <v>0.15</v>
      </c>
      <c r="N287" s="20">
        <f t="shared" si="24"/>
        <v>0</v>
      </c>
      <c r="AO287" s="26">
        <f t="shared" si="25"/>
        <v>0</v>
      </c>
      <c r="AP287" s="20">
        <f>IFERROR(ROUNDUP(O287/(1-CONFIGURACION!$B$6),0),0)</f>
        <v>0</v>
      </c>
      <c r="AQ287" s="26">
        <f>IFERROR(ROUNDUP(O287/(1-CONFIGURACION!$B$7),0),0)</f>
        <v>0</v>
      </c>
      <c r="AR287" s="20">
        <f>IFERROR(ROUNDUP(O287/(1-CONFIGURACION!$B$8),0),0)</f>
        <v>0</v>
      </c>
      <c r="AS287" s="43"/>
      <c r="AT287" s="30">
        <f t="shared" si="26"/>
        <v>0</v>
      </c>
      <c r="AU287" s="18"/>
    </row>
    <row r="288" spans="1:47">
      <c r="A288" s="17"/>
      <c r="B288" s="17"/>
      <c r="C288" s="17"/>
      <c r="D288" s="17"/>
      <c r="E288" s="20">
        <f>IFERROR(SUMIF(RECETAS!$B:$B,B288,RECETAS!$H:$H),0)</f>
        <v>0</v>
      </c>
      <c r="F288" s="17"/>
      <c r="G288" s="17"/>
      <c r="H288" s="17"/>
      <c r="I288" s="17"/>
      <c r="J288" s="18">
        <f t="shared" si="22"/>
        <v>0</v>
      </c>
      <c r="K288" s="20">
        <f>IFERROR(CONFIGURACION!$B$5,0)</f>
        <v>4000</v>
      </c>
      <c r="L288" s="20">
        <f t="shared" si="23"/>
        <v>0</v>
      </c>
      <c r="M288" s="42">
        <f>IFERROR(CONFIGURACION!$B$9,0)</f>
        <v>0.15</v>
      </c>
      <c r="N288" s="20">
        <f t="shared" si="24"/>
        <v>0</v>
      </c>
      <c r="AO288" s="26">
        <f t="shared" si="25"/>
        <v>0</v>
      </c>
      <c r="AP288" s="20">
        <f>IFERROR(ROUNDUP(O288/(1-CONFIGURACION!$B$6),0),0)</f>
        <v>0</v>
      </c>
      <c r="AQ288" s="26">
        <f>IFERROR(ROUNDUP(O288/(1-CONFIGURACION!$B$7),0),0)</f>
        <v>0</v>
      </c>
      <c r="AR288" s="20">
        <f>IFERROR(ROUNDUP(O288/(1-CONFIGURACION!$B$8),0),0)</f>
        <v>0</v>
      </c>
      <c r="AS288" s="43"/>
      <c r="AT288" s="30">
        <f t="shared" si="26"/>
        <v>0</v>
      </c>
      <c r="AU288" s="18"/>
    </row>
    <row r="289" spans="1:47">
      <c r="A289" s="17"/>
      <c r="B289" s="17"/>
      <c r="C289" s="17"/>
      <c r="D289" s="17"/>
      <c r="E289" s="20">
        <f>IFERROR(SUMIF(RECETAS!$B:$B,B289,RECETAS!$H:$H),0)</f>
        <v>0</v>
      </c>
      <c r="F289" s="17"/>
      <c r="G289" s="17"/>
      <c r="H289" s="17"/>
      <c r="I289" s="17"/>
      <c r="J289" s="18">
        <f t="shared" si="22"/>
        <v>0</v>
      </c>
      <c r="K289" s="20">
        <f>IFERROR(CONFIGURACION!$B$5,0)</f>
        <v>4000</v>
      </c>
      <c r="L289" s="20">
        <f t="shared" si="23"/>
        <v>0</v>
      </c>
      <c r="M289" s="42">
        <f>IFERROR(CONFIGURACION!$B$9,0)</f>
        <v>0.15</v>
      </c>
      <c r="N289" s="20">
        <f t="shared" si="24"/>
        <v>0</v>
      </c>
      <c r="AO289" s="26">
        <f t="shared" si="25"/>
        <v>0</v>
      </c>
      <c r="AP289" s="20">
        <f>IFERROR(ROUNDUP(O289/(1-CONFIGURACION!$B$6),0),0)</f>
        <v>0</v>
      </c>
      <c r="AQ289" s="26">
        <f>IFERROR(ROUNDUP(O289/(1-CONFIGURACION!$B$7),0),0)</f>
        <v>0</v>
      </c>
      <c r="AR289" s="20">
        <f>IFERROR(ROUNDUP(O289/(1-CONFIGURACION!$B$8),0),0)</f>
        <v>0</v>
      </c>
      <c r="AS289" s="43"/>
      <c r="AT289" s="30">
        <f t="shared" si="26"/>
        <v>0</v>
      </c>
      <c r="AU289" s="18"/>
    </row>
    <row r="290" spans="1:47">
      <c r="A290" s="17"/>
      <c r="B290" s="17"/>
      <c r="C290" s="17"/>
      <c r="D290" s="17"/>
      <c r="E290" s="20">
        <f>IFERROR(SUMIF(RECETAS!$B:$B,B290,RECETAS!$H:$H),0)</f>
        <v>0</v>
      </c>
      <c r="F290" s="17"/>
      <c r="G290" s="17"/>
      <c r="H290" s="17"/>
      <c r="I290" s="17"/>
      <c r="J290" s="18">
        <f t="shared" si="22"/>
        <v>0</v>
      </c>
      <c r="K290" s="20">
        <f>IFERROR(CONFIGURACION!$B$5,0)</f>
        <v>4000</v>
      </c>
      <c r="L290" s="20">
        <f t="shared" si="23"/>
        <v>0</v>
      </c>
      <c r="M290" s="42">
        <f>IFERROR(CONFIGURACION!$B$9,0)</f>
        <v>0.15</v>
      </c>
      <c r="N290" s="20">
        <f t="shared" si="24"/>
        <v>0</v>
      </c>
      <c r="AO290" s="26">
        <f t="shared" si="25"/>
        <v>0</v>
      </c>
      <c r="AP290" s="20">
        <f>IFERROR(ROUNDUP(O290/(1-CONFIGURACION!$B$6),0),0)</f>
        <v>0</v>
      </c>
      <c r="AQ290" s="26">
        <f>IFERROR(ROUNDUP(O290/(1-CONFIGURACION!$B$7),0),0)</f>
        <v>0</v>
      </c>
      <c r="AR290" s="20">
        <f>IFERROR(ROUNDUP(O290/(1-CONFIGURACION!$B$8),0),0)</f>
        <v>0</v>
      </c>
      <c r="AS290" s="43"/>
      <c r="AT290" s="30">
        <f t="shared" si="26"/>
        <v>0</v>
      </c>
      <c r="AU290" s="18"/>
    </row>
    <row r="291" spans="1:47">
      <c r="A291" s="17"/>
      <c r="B291" s="17"/>
      <c r="C291" s="17"/>
      <c r="D291" s="17"/>
      <c r="E291" s="20">
        <f>IFERROR(SUMIF(RECETAS!$B:$B,B291,RECETAS!$H:$H),0)</f>
        <v>0</v>
      </c>
      <c r="F291" s="17"/>
      <c r="G291" s="17"/>
      <c r="H291" s="17"/>
      <c r="I291" s="17"/>
      <c r="J291" s="18">
        <f t="shared" si="22"/>
        <v>0</v>
      </c>
      <c r="K291" s="20">
        <f>IFERROR(CONFIGURACION!$B$5,0)</f>
        <v>4000</v>
      </c>
      <c r="L291" s="20">
        <f t="shared" si="23"/>
        <v>0</v>
      </c>
      <c r="M291" s="42">
        <f>IFERROR(CONFIGURACION!$B$9,0)</f>
        <v>0.15</v>
      </c>
      <c r="N291" s="20">
        <f t="shared" si="24"/>
        <v>0</v>
      </c>
      <c r="AO291" s="26">
        <f t="shared" si="25"/>
        <v>0</v>
      </c>
      <c r="AP291" s="20">
        <f>IFERROR(ROUNDUP(O291/(1-CONFIGURACION!$B$6),0),0)</f>
        <v>0</v>
      </c>
      <c r="AQ291" s="26">
        <f>IFERROR(ROUNDUP(O291/(1-CONFIGURACION!$B$7),0),0)</f>
        <v>0</v>
      </c>
      <c r="AR291" s="20">
        <f>IFERROR(ROUNDUP(O291/(1-CONFIGURACION!$B$8),0),0)</f>
        <v>0</v>
      </c>
      <c r="AS291" s="43"/>
      <c r="AT291" s="30">
        <f t="shared" si="26"/>
        <v>0</v>
      </c>
      <c r="AU291" s="18"/>
    </row>
    <row r="292" spans="1:47">
      <c r="A292" s="17"/>
      <c r="B292" s="17"/>
      <c r="C292" s="17"/>
      <c r="D292" s="17"/>
      <c r="E292" s="20">
        <f>IFERROR(SUMIF(RECETAS!$B:$B,B292,RECETAS!$H:$H),0)</f>
        <v>0</v>
      </c>
      <c r="F292" s="17"/>
      <c r="G292" s="17"/>
      <c r="H292" s="17"/>
      <c r="I292" s="17"/>
      <c r="J292" s="18">
        <f t="shared" si="22"/>
        <v>0</v>
      </c>
      <c r="K292" s="20">
        <f>IFERROR(CONFIGURACION!$B$5,0)</f>
        <v>4000</v>
      </c>
      <c r="L292" s="20">
        <f t="shared" si="23"/>
        <v>0</v>
      </c>
      <c r="M292" s="42">
        <f>IFERROR(CONFIGURACION!$B$9,0)</f>
        <v>0.15</v>
      </c>
      <c r="N292" s="20">
        <f t="shared" si="24"/>
        <v>0</v>
      </c>
      <c r="AO292" s="26">
        <f t="shared" si="25"/>
        <v>0</v>
      </c>
      <c r="AP292" s="20">
        <f>IFERROR(ROUNDUP(O292/(1-CONFIGURACION!$B$6),0),0)</f>
        <v>0</v>
      </c>
      <c r="AQ292" s="26">
        <f>IFERROR(ROUNDUP(O292/(1-CONFIGURACION!$B$7),0),0)</f>
        <v>0</v>
      </c>
      <c r="AR292" s="20">
        <f>IFERROR(ROUNDUP(O292/(1-CONFIGURACION!$B$8),0),0)</f>
        <v>0</v>
      </c>
      <c r="AS292" s="43"/>
      <c r="AT292" s="30">
        <f t="shared" si="26"/>
        <v>0</v>
      </c>
      <c r="AU292" s="18"/>
    </row>
    <row r="293" spans="1:47">
      <c r="A293" s="17"/>
      <c r="B293" s="17"/>
      <c r="C293" s="17"/>
      <c r="D293" s="17"/>
      <c r="E293" s="20">
        <f>IFERROR(SUMIF(RECETAS!$B:$B,B293,RECETAS!$H:$H),0)</f>
        <v>0</v>
      </c>
      <c r="F293" s="17"/>
      <c r="G293" s="17"/>
      <c r="H293" s="17"/>
      <c r="I293" s="17"/>
      <c r="J293" s="18">
        <f t="shared" si="22"/>
        <v>0</v>
      </c>
      <c r="K293" s="20">
        <f>IFERROR(CONFIGURACION!$B$5,0)</f>
        <v>4000</v>
      </c>
      <c r="L293" s="20">
        <f t="shared" si="23"/>
        <v>0</v>
      </c>
      <c r="M293" s="42">
        <f>IFERROR(CONFIGURACION!$B$9,0)</f>
        <v>0.15</v>
      </c>
      <c r="N293" s="20">
        <f t="shared" si="24"/>
        <v>0</v>
      </c>
      <c r="AO293" s="26">
        <f t="shared" si="25"/>
        <v>0</v>
      </c>
      <c r="AP293" s="20">
        <f>IFERROR(ROUNDUP(O293/(1-CONFIGURACION!$B$6),0),0)</f>
        <v>0</v>
      </c>
      <c r="AQ293" s="26">
        <f>IFERROR(ROUNDUP(O293/(1-CONFIGURACION!$B$7),0),0)</f>
        <v>0</v>
      </c>
      <c r="AR293" s="20">
        <f>IFERROR(ROUNDUP(O293/(1-CONFIGURACION!$B$8),0),0)</f>
        <v>0</v>
      </c>
      <c r="AS293" s="43"/>
      <c r="AT293" s="30">
        <f t="shared" si="26"/>
        <v>0</v>
      </c>
      <c r="AU293" s="18"/>
    </row>
    <row r="294" spans="1:47">
      <c r="A294" s="17"/>
      <c r="B294" s="17"/>
      <c r="C294" s="17"/>
      <c r="D294" s="17"/>
      <c r="E294" s="20">
        <f>IFERROR(SUMIF(RECETAS!$B:$B,B294,RECETAS!$H:$H),0)</f>
        <v>0</v>
      </c>
      <c r="F294" s="17"/>
      <c r="G294" s="17"/>
      <c r="H294" s="17"/>
      <c r="I294" s="17"/>
      <c r="J294" s="18">
        <f t="shared" si="22"/>
        <v>0</v>
      </c>
      <c r="K294" s="20">
        <f>IFERROR(CONFIGURACION!$B$5,0)</f>
        <v>4000</v>
      </c>
      <c r="L294" s="20">
        <f t="shared" si="23"/>
        <v>0</v>
      </c>
      <c r="M294" s="42">
        <f>IFERROR(CONFIGURACION!$B$9,0)</f>
        <v>0.15</v>
      </c>
      <c r="N294" s="20">
        <f t="shared" si="24"/>
        <v>0</v>
      </c>
      <c r="AO294" s="26">
        <f t="shared" si="25"/>
        <v>0</v>
      </c>
      <c r="AP294" s="20">
        <f>IFERROR(ROUNDUP(O294/(1-CONFIGURACION!$B$6),0),0)</f>
        <v>0</v>
      </c>
      <c r="AQ294" s="26">
        <f>IFERROR(ROUNDUP(O294/(1-CONFIGURACION!$B$7),0),0)</f>
        <v>0</v>
      </c>
      <c r="AR294" s="20">
        <f>IFERROR(ROUNDUP(O294/(1-CONFIGURACION!$B$8),0),0)</f>
        <v>0</v>
      </c>
      <c r="AS294" s="43"/>
      <c r="AT294" s="30">
        <f t="shared" si="26"/>
        <v>0</v>
      </c>
      <c r="AU294" s="18"/>
    </row>
    <row r="295" spans="1:47">
      <c r="A295" s="17"/>
      <c r="B295" s="17"/>
      <c r="C295" s="17"/>
      <c r="D295" s="17"/>
      <c r="E295" s="20">
        <f>IFERROR(SUMIF(RECETAS!$B:$B,B295,RECETAS!$H:$H),0)</f>
        <v>0</v>
      </c>
      <c r="F295" s="17"/>
      <c r="G295" s="17"/>
      <c r="H295" s="17"/>
      <c r="I295" s="17"/>
      <c r="J295" s="18">
        <f t="shared" si="22"/>
        <v>0</v>
      </c>
      <c r="K295" s="20">
        <f>IFERROR(CONFIGURACION!$B$5,0)</f>
        <v>4000</v>
      </c>
      <c r="L295" s="20">
        <f t="shared" si="23"/>
        <v>0</v>
      </c>
      <c r="M295" s="42">
        <f>IFERROR(CONFIGURACION!$B$9,0)</f>
        <v>0.15</v>
      </c>
      <c r="N295" s="20">
        <f t="shared" si="24"/>
        <v>0</v>
      </c>
      <c r="AO295" s="26">
        <f t="shared" si="25"/>
        <v>0</v>
      </c>
      <c r="AP295" s="20">
        <f>IFERROR(ROUNDUP(O295/(1-CONFIGURACION!$B$6),0),0)</f>
        <v>0</v>
      </c>
      <c r="AQ295" s="26">
        <f>IFERROR(ROUNDUP(O295/(1-CONFIGURACION!$B$7),0),0)</f>
        <v>0</v>
      </c>
      <c r="AR295" s="20">
        <f>IFERROR(ROUNDUP(O295/(1-CONFIGURACION!$B$8),0),0)</f>
        <v>0</v>
      </c>
      <c r="AS295" s="43"/>
      <c r="AT295" s="30">
        <f t="shared" si="26"/>
        <v>0</v>
      </c>
      <c r="AU295" s="18"/>
    </row>
    <row r="296" spans="1:47">
      <c r="A296" s="17"/>
      <c r="B296" s="17"/>
      <c r="C296" s="17"/>
      <c r="D296" s="17"/>
      <c r="E296" s="20">
        <f>IFERROR(SUMIF(RECETAS!$B:$B,B296,RECETAS!$H:$H),0)</f>
        <v>0</v>
      </c>
      <c r="F296" s="17"/>
      <c r="G296" s="17"/>
      <c r="H296" s="17"/>
      <c r="I296" s="17"/>
      <c r="J296" s="18">
        <f t="shared" si="22"/>
        <v>0</v>
      </c>
      <c r="K296" s="20">
        <f>IFERROR(CONFIGURACION!$B$5,0)</f>
        <v>4000</v>
      </c>
      <c r="L296" s="20">
        <f t="shared" si="23"/>
        <v>0</v>
      </c>
      <c r="M296" s="42">
        <f>IFERROR(CONFIGURACION!$B$9,0)</f>
        <v>0.15</v>
      </c>
      <c r="N296" s="20">
        <f t="shared" si="24"/>
        <v>0</v>
      </c>
      <c r="AO296" s="26">
        <f t="shared" si="25"/>
        <v>0</v>
      </c>
      <c r="AP296" s="20">
        <f>IFERROR(ROUNDUP(O296/(1-CONFIGURACION!$B$6),0),0)</f>
        <v>0</v>
      </c>
      <c r="AQ296" s="26">
        <f>IFERROR(ROUNDUP(O296/(1-CONFIGURACION!$B$7),0),0)</f>
        <v>0</v>
      </c>
      <c r="AR296" s="20">
        <f>IFERROR(ROUNDUP(O296/(1-CONFIGURACION!$B$8),0),0)</f>
        <v>0</v>
      </c>
      <c r="AS296" s="43"/>
      <c r="AT296" s="30">
        <f t="shared" si="26"/>
        <v>0</v>
      </c>
      <c r="AU296" s="18"/>
    </row>
    <row r="297" spans="1:47">
      <c r="A297" s="17"/>
      <c r="B297" s="17"/>
      <c r="C297" s="17"/>
      <c r="D297" s="17"/>
      <c r="E297" s="20">
        <f>IFERROR(SUMIF(RECETAS!$B:$B,B297,RECETAS!$H:$H),0)</f>
        <v>0</v>
      </c>
      <c r="F297" s="17"/>
      <c r="G297" s="17"/>
      <c r="H297" s="17"/>
      <c r="I297" s="17"/>
      <c r="J297" s="18">
        <f t="shared" si="22"/>
        <v>0</v>
      </c>
      <c r="K297" s="20">
        <f>IFERROR(CONFIGURACION!$B$5,0)</f>
        <v>4000</v>
      </c>
      <c r="L297" s="20">
        <f t="shared" si="23"/>
        <v>0</v>
      </c>
      <c r="M297" s="42">
        <f>IFERROR(CONFIGURACION!$B$9,0)</f>
        <v>0.15</v>
      </c>
      <c r="N297" s="20">
        <f t="shared" si="24"/>
        <v>0</v>
      </c>
      <c r="AO297" s="26">
        <f t="shared" si="25"/>
        <v>0</v>
      </c>
      <c r="AP297" s="20">
        <f>IFERROR(ROUNDUP(O297/(1-CONFIGURACION!$B$6),0),0)</f>
        <v>0</v>
      </c>
      <c r="AQ297" s="26">
        <f>IFERROR(ROUNDUP(O297/(1-CONFIGURACION!$B$7),0),0)</f>
        <v>0</v>
      </c>
      <c r="AR297" s="20">
        <f>IFERROR(ROUNDUP(O297/(1-CONFIGURACION!$B$8),0),0)</f>
        <v>0</v>
      </c>
      <c r="AS297" s="43"/>
      <c r="AT297" s="30">
        <f t="shared" si="26"/>
        <v>0</v>
      </c>
      <c r="AU297" s="18"/>
    </row>
    <row r="298" spans="1:47">
      <c r="A298" s="17"/>
      <c r="B298" s="17"/>
      <c r="C298" s="17"/>
      <c r="D298" s="17"/>
      <c r="E298" s="20">
        <f>IFERROR(SUMIF(RECETAS!$B:$B,B298,RECETAS!$H:$H),0)</f>
        <v>0</v>
      </c>
      <c r="F298" s="17"/>
      <c r="G298" s="17"/>
      <c r="H298" s="17"/>
      <c r="I298" s="17"/>
      <c r="J298" s="18">
        <f t="shared" si="22"/>
        <v>0</v>
      </c>
      <c r="K298" s="20">
        <f>IFERROR(CONFIGURACION!$B$5,0)</f>
        <v>4000</v>
      </c>
      <c r="L298" s="20">
        <f t="shared" si="23"/>
        <v>0</v>
      </c>
      <c r="M298" s="42">
        <f>IFERROR(CONFIGURACION!$B$9,0)</f>
        <v>0.15</v>
      </c>
      <c r="N298" s="20">
        <f t="shared" si="24"/>
        <v>0</v>
      </c>
      <c r="AO298" s="26">
        <f t="shared" si="25"/>
        <v>0</v>
      </c>
      <c r="AP298" s="20">
        <f>IFERROR(ROUNDUP(O298/(1-CONFIGURACION!$B$6),0),0)</f>
        <v>0</v>
      </c>
      <c r="AQ298" s="26">
        <f>IFERROR(ROUNDUP(O298/(1-CONFIGURACION!$B$7),0),0)</f>
        <v>0</v>
      </c>
      <c r="AR298" s="20">
        <f>IFERROR(ROUNDUP(O298/(1-CONFIGURACION!$B$8),0),0)</f>
        <v>0</v>
      </c>
      <c r="AS298" s="43"/>
      <c r="AT298" s="30">
        <f t="shared" si="26"/>
        <v>0</v>
      </c>
      <c r="AU298" s="18"/>
    </row>
    <row r="299" spans="1:47">
      <c r="A299" s="17"/>
      <c r="B299" s="17"/>
      <c r="C299" s="17"/>
      <c r="D299" s="17"/>
      <c r="E299" s="20">
        <f>IFERROR(SUMIF(RECETAS!$B:$B,B299,RECETAS!$H:$H),0)</f>
        <v>0</v>
      </c>
      <c r="F299" s="17"/>
      <c r="G299" s="17"/>
      <c r="H299" s="17"/>
      <c r="I299" s="17"/>
      <c r="J299" s="18">
        <f t="shared" si="22"/>
        <v>0</v>
      </c>
      <c r="K299" s="20">
        <f>IFERROR(CONFIGURACION!$B$5,0)</f>
        <v>4000</v>
      </c>
      <c r="L299" s="20">
        <f t="shared" si="23"/>
        <v>0</v>
      </c>
      <c r="M299" s="42">
        <f>IFERROR(CONFIGURACION!$B$9,0)</f>
        <v>0.15</v>
      </c>
      <c r="N299" s="20">
        <f t="shared" si="24"/>
        <v>0</v>
      </c>
      <c r="AO299" s="26">
        <f t="shared" si="25"/>
        <v>0</v>
      </c>
      <c r="AP299" s="20">
        <f>IFERROR(ROUNDUP(O299/(1-CONFIGURACION!$B$6),0),0)</f>
        <v>0</v>
      </c>
      <c r="AQ299" s="26">
        <f>IFERROR(ROUNDUP(O299/(1-CONFIGURACION!$B$7),0),0)</f>
        <v>0</v>
      </c>
      <c r="AR299" s="20">
        <f>IFERROR(ROUNDUP(O299/(1-CONFIGURACION!$B$8),0),0)</f>
        <v>0</v>
      </c>
      <c r="AS299" s="43"/>
      <c r="AT299" s="30">
        <f t="shared" si="26"/>
        <v>0</v>
      </c>
      <c r="AU299" s="18"/>
    </row>
    <row r="300" spans="1:47">
      <c r="A300" s="17"/>
      <c r="B300" s="17"/>
      <c r="C300" s="17"/>
      <c r="D300" s="17"/>
      <c r="E300" s="20">
        <f>IFERROR(SUMIF(RECETAS!$B:$B,B300,RECETAS!$H:$H),0)</f>
        <v>0</v>
      </c>
      <c r="F300" s="17"/>
      <c r="G300" s="17"/>
      <c r="H300" s="17"/>
      <c r="I300" s="17"/>
      <c r="J300" s="18">
        <f t="shared" si="22"/>
        <v>0</v>
      </c>
      <c r="K300" s="20">
        <f>IFERROR(CONFIGURACION!$B$5,0)</f>
        <v>4000</v>
      </c>
      <c r="L300" s="20">
        <f t="shared" si="23"/>
        <v>0</v>
      </c>
      <c r="M300" s="42">
        <f>IFERROR(CONFIGURACION!$B$9,0)</f>
        <v>0.15</v>
      </c>
      <c r="N300" s="20">
        <f t="shared" si="24"/>
        <v>0</v>
      </c>
      <c r="AO300" s="26">
        <f t="shared" si="25"/>
        <v>0</v>
      </c>
      <c r="AP300" s="20">
        <f>IFERROR(ROUNDUP(O300/(1-CONFIGURACION!$B$6),0),0)</f>
        <v>0</v>
      </c>
      <c r="AQ300" s="26">
        <f>IFERROR(ROUNDUP(O300/(1-CONFIGURACION!$B$7),0),0)</f>
        <v>0</v>
      </c>
      <c r="AR300" s="20">
        <f>IFERROR(ROUNDUP(O300/(1-CONFIGURACION!$B$8),0),0)</f>
        <v>0</v>
      </c>
      <c r="AS300" s="43"/>
      <c r="AT300" s="30">
        <f t="shared" si="26"/>
        <v>0</v>
      </c>
      <c r="AU300" s="18"/>
    </row>
  </sheetData>
  <sheetProtection password="840F" sheet="1" insertRows="0" sort="0" autoFilter="0"/>
  <mergeCells count="1">
    <mergeCell ref="E1:G1"/>
  </mergeCells>
  <dataValidations count="1">
    <dataValidation type="list" showErrorMessage="1" error="Selecciona una opcion de la lista" sqref="D5:D500">
      <formula1>CONFIGURACION!$G$14:$G$21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84B0A"/>
  </sheetPr>
  <dimension ref="A1:AR300"/>
  <sheetViews>
    <sheetView workbookViewId="0">
      <pane ySplit="4" topLeftCell="A5" activePane="bottomLeft" state="frozen"/>
      <selection/>
      <selection pane="bottomLeft" activeCell="E1" sqref="E1:G1"/>
    </sheetView>
  </sheetViews>
  <sheetFormatPr defaultColWidth="9" defaultRowHeight="15"/>
  <cols>
    <col min="1" max="1" width="10" customWidth="1"/>
    <col min="2" max="2" width="12" customWidth="1"/>
    <col min="3" max="3" width="22" customWidth="1"/>
    <col min="4" max="4" width="28" customWidth="1"/>
    <col min="5" max="5" width="8" customWidth="1"/>
    <col min="6" max="6" width="13" customWidth="1"/>
    <col min="7" max="9" width="14" customWidth="1"/>
    <col min="10" max="10" width="12" customWidth="1"/>
    <col min="11" max="12" width="10" customWidth="1"/>
    <col min="13" max="13" width="14" customWidth="1"/>
    <col min="14" max="14" width="16" customWidth="1"/>
    <col min="15" max="15" width="20" hidden="1" customWidth="1"/>
    <col min="16" max="16" width="22" hidden="1" customWidth="1"/>
    <col min="17" max="40" width="9.14285714285714" hidden="1" customWidth="1"/>
    <col min="43" max="43" width="9.14285714285714" hidden="1" customWidth="1"/>
    <col min="44" max="44" width="8.42857142857143" hidden="1" customWidth="1"/>
  </cols>
  <sheetData>
    <row r="1" ht="22" customHeight="1" spans="1:44">
      <c r="A1" s="4" t="s">
        <v>259</v>
      </c>
      <c r="B1" s="5"/>
      <c r="C1" s="5"/>
      <c r="D1" s="5"/>
      <c r="E1" s="6" t="str">
        <f>HYPERLINK("#DASHBOARD!A1","Volver al Menu Principal")</f>
        <v>Volver al Menu Principal</v>
      </c>
      <c r="F1" s="7"/>
      <c r="G1" s="7"/>
      <c r="H1" s="5"/>
      <c r="I1" s="5"/>
      <c r="J1" s="5"/>
      <c r="K1" s="5"/>
      <c r="L1" s="8"/>
      <c r="M1" s="7"/>
      <c r="N1" s="7"/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R1" s="32"/>
    </row>
    <row r="2" ht="20" customHeight="1" spans="1:42">
      <c r="A2" s="21" t="s">
        <v>103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ht="20" customHeight="1" spans="1:42">
      <c r="A3" s="23" t="s">
        <v>260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</row>
    <row r="4" ht="38" customHeight="1" spans="1:42">
      <c r="A4" s="13" t="s">
        <v>261</v>
      </c>
      <c r="B4" s="13" t="s">
        <v>262</v>
      </c>
      <c r="C4" s="13" t="s">
        <v>263</v>
      </c>
      <c r="D4" s="14" t="s">
        <v>158</v>
      </c>
      <c r="E4" s="14" t="s">
        <v>264</v>
      </c>
      <c r="F4" s="14" t="s">
        <v>265</v>
      </c>
      <c r="G4" s="15" t="s">
        <v>266</v>
      </c>
      <c r="H4" s="15" t="s">
        <v>267</v>
      </c>
      <c r="I4" s="15" t="s">
        <v>111</v>
      </c>
      <c r="J4" s="15" t="s">
        <v>268</v>
      </c>
      <c r="K4" s="15" t="s">
        <v>269</v>
      </c>
      <c r="L4" s="14" t="s">
        <v>270</v>
      </c>
      <c r="M4" s="15" t="s">
        <v>271</v>
      </c>
      <c r="N4" s="14" t="s">
        <v>272</v>
      </c>
      <c r="AO4" s="14" t="s">
        <v>235</v>
      </c>
      <c r="AP4" s="13" t="s">
        <v>273</v>
      </c>
    </row>
    <row r="5" ht="18" customHeight="1" spans="1:42">
      <c r="A5" s="17" t="s">
        <v>274</v>
      </c>
      <c r="B5" s="16">
        <v>46195</v>
      </c>
      <c r="C5" s="17" t="s">
        <v>275</v>
      </c>
      <c r="D5" s="17" t="s">
        <v>164</v>
      </c>
      <c r="E5" s="17">
        <v>10</v>
      </c>
      <c r="F5" s="25">
        <v>6500</v>
      </c>
      <c r="G5" s="26">
        <f>IFERROR(E5*F5,0)</f>
        <v>65000</v>
      </c>
      <c r="H5" s="20">
        <f>IFERROR(VLOOKUP(D5,PRODUCTOS!$B:$O,14,0),0)</f>
        <v>1394.375</v>
      </c>
      <c r="I5" s="20">
        <f>IFERROR(E5*H5,0)</f>
        <v>13943.75</v>
      </c>
      <c r="J5" s="26">
        <f>IFERROR(G5-I5,0)</f>
        <v>51056.25</v>
      </c>
      <c r="K5" s="30">
        <f>IF(G5&gt;0,J5/G5,0)</f>
        <v>0.785480769230769</v>
      </c>
      <c r="L5" s="17">
        <v>75</v>
      </c>
      <c r="M5" s="20">
        <f>IF(L5&gt;0,J5/(L5/60),0)</f>
        <v>40845</v>
      </c>
      <c r="N5" s="17" t="s">
        <v>59</v>
      </c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17" t="s">
        <v>84</v>
      </c>
      <c r="AP5" s="33" t="s">
        <v>276</v>
      </c>
    </row>
    <row r="6" ht="18" customHeight="1" spans="1:42">
      <c r="A6" s="17" t="s">
        <v>277</v>
      </c>
      <c r="B6" s="27"/>
      <c r="C6" s="28" t="s">
        <v>278</v>
      </c>
      <c r="D6" s="27"/>
      <c r="E6" s="27"/>
      <c r="F6" s="27"/>
      <c r="G6" s="20">
        <f>IFERROR(E6*F6,0)</f>
        <v>0</v>
      </c>
      <c r="H6" s="20">
        <f>IFERROR(VLOOKUP(D6,PRODUCTOS!$B:$O,14,0),0)</f>
        <v>0</v>
      </c>
      <c r="I6" s="20">
        <f>IFERROR(E6*H6,0)</f>
        <v>0</v>
      </c>
      <c r="J6" s="20">
        <f>IFERROR(G6-I6,0)</f>
        <v>0</v>
      </c>
      <c r="K6" s="31">
        <f>IF(G6&gt;0,J6/G6,0)</f>
        <v>0</v>
      </c>
      <c r="L6" s="27"/>
      <c r="M6" s="20">
        <f>IF(L6&gt;0,J6/(L6/60),0)</f>
        <v>0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</row>
    <row r="7" spans="1:42">
      <c r="A7" s="29"/>
      <c r="B7" s="29"/>
      <c r="C7" s="29"/>
      <c r="D7" s="29"/>
      <c r="E7" s="29"/>
      <c r="F7" s="29"/>
      <c r="L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</row>
    <row r="8" spans="1:42">
      <c r="A8" s="29"/>
      <c r="B8" s="29"/>
      <c r="C8" s="29"/>
      <c r="D8" s="29"/>
      <c r="E8" s="29"/>
      <c r="F8" s="29"/>
      <c r="L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</row>
    <row r="9" spans="1:42">
      <c r="A9" s="29"/>
      <c r="B9" s="29"/>
      <c r="C9" s="29"/>
      <c r="D9" s="29"/>
      <c r="E9" s="29"/>
      <c r="F9" s="29"/>
      <c r="L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</row>
    <row r="10" spans="1:42">
      <c r="A10" s="29"/>
      <c r="B10" s="29"/>
      <c r="C10" s="29"/>
      <c r="D10" s="29"/>
      <c r="E10" s="29"/>
      <c r="F10" s="29"/>
      <c r="L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</row>
    <row r="11" spans="1:42">
      <c r="A11" s="29"/>
      <c r="B11" s="29"/>
      <c r="C11" s="29"/>
      <c r="D11" s="29"/>
      <c r="E11" s="29"/>
      <c r="F11" s="29"/>
      <c r="L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</row>
    <row r="12" spans="1:42">
      <c r="A12" s="29"/>
      <c r="B12" s="29"/>
      <c r="C12" s="29"/>
      <c r="D12" s="29"/>
      <c r="E12" s="29"/>
      <c r="F12" s="29"/>
      <c r="L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</row>
    <row r="13" spans="1:42">
      <c r="A13" s="29"/>
      <c r="B13" s="29"/>
      <c r="C13" s="29"/>
      <c r="D13" s="29"/>
      <c r="E13" s="29"/>
      <c r="F13" s="29"/>
      <c r="L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</row>
    <row r="14" spans="1:42">
      <c r="A14" s="29"/>
      <c r="B14" s="29"/>
      <c r="C14" s="29"/>
      <c r="D14" s="29"/>
      <c r="E14" s="29"/>
      <c r="F14" s="29"/>
      <c r="L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</row>
    <row r="15" spans="1:42">
      <c r="A15" s="29"/>
      <c r="B15" s="29"/>
      <c r="C15" s="29"/>
      <c r="D15" s="29"/>
      <c r="E15" s="29"/>
      <c r="F15" s="29"/>
      <c r="L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</row>
    <row r="16" spans="1:42">
      <c r="A16" s="29"/>
      <c r="B16" s="29"/>
      <c r="C16" s="29"/>
      <c r="D16" s="29"/>
      <c r="E16" s="29"/>
      <c r="F16" s="29"/>
      <c r="L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</row>
    <row r="17" spans="1:42">
      <c r="A17" s="29"/>
      <c r="B17" s="29"/>
      <c r="C17" s="29"/>
      <c r="D17" s="29"/>
      <c r="E17" s="29"/>
      <c r="F17" s="29"/>
      <c r="L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</row>
    <row r="18" spans="1:42">
      <c r="A18" s="29"/>
      <c r="B18" s="29"/>
      <c r="C18" s="29"/>
      <c r="D18" s="29"/>
      <c r="E18" s="29"/>
      <c r="F18" s="29"/>
      <c r="L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</row>
    <row r="19" spans="1:42">
      <c r="A19" s="29"/>
      <c r="B19" s="29"/>
      <c r="C19" s="29"/>
      <c r="D19" s="29"/>
      <c r="E19" s="29"/>
      <c r="F19" s="29"/>
      <c r="L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</row>
    <row r="20" spans="1:42">
      <c r="A20" s="29"/>
      <c r="B20" s="29"/>
      <c r="C20" s="29"/>
      <c r="D20" s="29"/>
      <c r="E20" s="29"/>
      <c r="F20" s="29"/>
      <c r="L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</row>
    <row r="21" spans="1:42">
      <c r="A21" s="29"/>
      <c r="B21" s="29"/>
      <c r="C21" s="29"/>
      <c r="D21" s="29"/>
      <c r="E21" s="29"/>
      <c r="F21" s="29"/>
      <c r="L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</row>
    <row r="22" spans="1:42">
      <c r="A22" s="29"/>
      <c r="B22" s="29"/>
      <c r="C22" s="29"/>
      <c r="D22" s="29"/>
      <c r="E22" s="29"/>
      <c r="F22" s="29"/>
      <c r="L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</row>
    <row r="23" spans="1:42">
      <c r="A23" s="29"/>
      <c r="B23" s="29"/>
      <c r="C23" s="29"/>
      <c r="D23" s="29"/>
      <c r="E23" s="29"/>
      <c r="F23" s="29"/>
      <c r="L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</row>
    <row r="24" spans="1:42">
      <c r="A24" s="29"/>
      <c r="B24" s="29"/>
      <c r="C24" s="29"/>
      <c r="D24" s="29"/>
      <c r="E24" s="29"/>
      <c r="F24" s="29"/>
      <c r="L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</row>
    <row r="25" spans="1:42">
      <c r="A25" s="29"/>
      <c r="B25" s="29"/>
      <c r="C25" s="29"/>
      <c r="D25" s="29"/>
      <c r="E25" s="29"/>
      <c r="F25" s="29"/>
      <c r="L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</row>
    <row r="26" spans="1:42">
      <c r="A26" s="29"/>
      <c r="B26" s="29"/>
      <c r="C26" s="29"/>
      <c r="D26" s="29"/>
      <c r="E26" s="29"/>
      <c r="F26" s="29"/>
      <c r="L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</row>
    <row r="27" spans="1:42">
      <c r="A27" s="29"/>
      <c r="B27" s="29"/>
      <c r="C27" s="29"/>
      <c r="D27" s="29"/>
      <c r="E27" s="29"/>
      <c r="F27" s="29"/>
      <c r="L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</row>
    <row r="28" spans="1:42">
      <c r="A28" s="29"/>
      <c r="B28" s="29"/>
      <c r="C28" s="29"/>
      <c r="D28" s="29"/>
      <c r="E28" s="29"/>
      <c r="F28" s="29"/>
      <c r="L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</row>
    <row r="29" spans="1:42">
      <c r="A29" s="29"/>
      <c r="B29" s="29"/>
      <c r="C29" s="29"/>
      <c r="D29" s="29"/>
      <c r="E29" s="29"/>
      <c r="F29" s="29"/>
      <c r="L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</row>
    <row r="30" spans="1:42">
      <c r="A30" s="29"/>
      <c r="B30" s="29"/>
      <c r="C30" s="29"/>
      <c r="D30" s="29"/>
      <c r="E30" s="29"/>
      <c r="F30" s="29"/>
      <c r="L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</row>
    <row r="31" spans="1:42">
      <c r="A31" s="29"/>
      <c r="B31" s="29"/>
      <c r="C31" s="29"/>
      <c r="D31" s="29"/>
      <c r="E31" s="29"/>
      <c r="F31" s="29"/>
      <c r="L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</row>
    <row r="32" spans="1:42">
      <c r="A32" s="29"/>
      <c r="B32" s="29"/>
      <c r="C32" s="29"/>
      <c r="D32" s="29"/>
      <c r="E32" s="29"/>
      <c r="F32" s="29"/>
      <c r="L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</row>
    <row r="33" spans="1:42">
      <c r="A33" s="29"/>
      <c r="B33" s="29"/>
      <c r="C33" s="29"/>
      <c r="D33" s="29"/>
      <c r="E33" s="29"/>
      <c r="F33" s="29"/>
      <c r="L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</row>
    <row r="34" spans="1:42">
      <c r="A34" s="29"/>
      <c r="B34" s="29"/>
      <c r="C34" s="29"/>
      <c r="D34" s="29"/>
      <c r="E34" s="29"/>
      <c r="F34" s="29"/>
      <c r="L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</row>
    <row r="35" spans="1:42">
      <c r="A35" s="29"/>
      <c r="B35" s="29"/>
      <c r="C35" s="29"/>
      <c r="D35" s="29"/>
      <c r="E35" s="29"/>
      <c r="F35" s="29"/>
      <c r="L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</row>
    <row r="36" spans="1:42">
      <c r="A36" s="29"/>
      <c r="B36" s="29"/>
      <c r="C36" s="29"/>
      <c r="D36" s="29"/>
      <c r="E36" s="29"/>
      <c r="F36" s="29"/>
      <c r="L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</row>
    <row r="37" spans="1:42">
      <c r="A37" s="29"/>
      <c r="B37" s="29"/>
      <c r="C37" s="29"/>
      <c r="D37" s="29"/>
      <c r="E37" s="29"/>
      <c r="F37" s="29"/>
      <c r="L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</row>
    <row r="38" spans="1:42">
      <c r="A38" s="29"/>
      <c r="B38" s="29"/>
      <c r="C38" s="29"/>
      <c r="D38" s="29"/>
      <c r="E38" s="29"/>
      <c r="F38" s="29"/>
      <c r="L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</row>
    <row r="39" spans="1:42">
      <c r="A39" s="29"/>
      <c r="B39" s="29"/>
      <c r="C39" s="29"/>
      <c r="D39" s="29"/>
      <c r="E39" s="29"/>
      <c r="F39" s="29"/>
      <c r="L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</row>
    <row r="40" spans="1:42">
      <c r="A40" s="29"/>
      <c r="B40" s="29"/>
      <c r="C40" s="29"/>
      <c r="D40" s="29"/>
      <c r="E40" s="29"/>
      <c r="F40" s="29"/>
      <c r="L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</row>
    <row r="41" spans="1:42">
      <c r="A41" s="29"/>
      <c r="B41" s="29"/>
      <c r="C41" s="29"/>
      <c r="D41" s="29"/>
      <c r="E41" s="29"/>
      <c r="F41" s="29"/>
      <c r="L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</row>
    <row r="42" spans="1:42">
      <c r="A42" s="29"/>
      <c r="B42" s="29"/>
      <c r="C42" s="29"/>
      <c r="D42" s="29"/>
      <c r="E42" s="29"/>
      <c r="F42" s="29"/>
      <c r="L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</row>
    <row r="43" spans="1:42">
      <c r="A43" s="29"/>
      <c r="B43" s="29"/>
      <c r="C43" s="29"/>
      <c r="D43" s="29"/>
      <c r="E43" s="29"/>
      <c r="F43" s="29"/>
      <c r="L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</row>
    <row r="44" spans="1:42">
      <c r="A44" s="29"/>
      <c r="B44" s="29"/>
      <c r="C44" s="29"/>
      <c r="D44" s="29"/>
      <c r="E44" s="29"/>
      <c r="F44" s="29"/>
      <c r="L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</row>
    <row r="45" spans="1:42">
      <c r="A45" s="29"/>
      <c r="B45" s="29"/>
      <c r="C45" s="29"/>
      <c r="D45" s="29"/>
      <c r="E45" s="29"/>
      <c r="F45" s="29"/>
      <c r="L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</row>
    <row r="46" spans="1:42">
      <c r="A46" s="29"/>
      <c r="B46" s="29"/>
      <c r="C46" s="29"/>
      <c r="D46" s="29"/>
      <c r="E46" s="29"/>
      <c r="F46" s="29"/>
      <c r="L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</row>
    <row r="47" spans="1:42">
      <c r="A47" s="29"/>
      <c r="B47" s="29"/>
      <c r="C47" s="29"/>
      <c r="D47" s="29"/>
      <c r="E47" s="29"/>
      <c r="F47" s="29"/>
      <c r="L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</row>
    <row r="48" spans="1:42">
      <c r="A48" s="29"/>
      <c r="B48" s="29"/>
      <c r="C48" s="29"/>
      <c r="D48" s="29"/>
      <c r="E48" s="29"/>
      <c r="F48" s="29"/>
      <c r="L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</row>
    <row r="49" spans="1:42">
      <c r="A49" s="29"/>
      <c r="B49" s="29"/>
      <c r="C49" s="29"/>
      <c r="D49" s="29"/>
      <c r="E49" s="29"/>
      <c r="F49" s="29"/>
      <c r="L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</row>
    <row r="50" spans="1:42">
      <c r="A50" s="29"/>
      <c r="B50" s="29"/>
      <c r="C50" s="29"/>
      <c r="D50" s="29"/>
      <c r="E50" s="29"/>
      <c r="F50" s="29"/>
      <c r="L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</row>
    <row r="51" spans="1:42">
      <c r="A51" s="29"/>
      <c r="B51" s="29"/>
      <c r="C51" s="29"/>
      <c r="D51" s="29"/>
      <c r="E51" s="29"/>
      <c r="F51" s="29"/>
      <c r="L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</row>
    <row r="52" spans="1:42">
      <c r="A52" s="29"/>
      <c r="B52" s="29"/>
      <c r="C52" s="29"/>
      <c r="D52" s="29"/>
      <c r="E52" s="29"/>
      <c r="F52" s="29"/>
      <c r="L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</row>
    <row r="53" spans="1:42">
      <c r="A53" s="29"/>
      <c r="B53" s="29"/>
      <c r="C53" s="29"/>
      <c r="D53" s="29"/>
      <c r="E53" s="29"/>
      <c r="F53" s="29"/>
      <c r="L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</row>
    <row r="54" spans="1:42">
      <c r="A54" s="29"/>
      <c r="B54" s="29"/>
      <c r="C54" s="29"/>
      <c r="D54" s="29"/>
      <c r="E54" s="29"/>
      <c r="F54" s="29"/>
      <c r="L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</row>
    <row r="55" spans="1:42">
      <c r="A55" s="29"/>
      <c r="B55" s="29"/>
      <c r="C55" s="29"/>
      <c r="D55" s="29"/>
      <c r="E55" s="29"/>
      <c r="F55" s="29"/>
      <c r="L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</row>
    <row r="56" spans="1:42">
      <c r="A56" s="29"/>
      <c r="B56" s="29"/>
      <c r="C56" s="29"/>
      <c r="D56" s="29"/>
      <c r="E56" s="29"/>
      <c r="F56" s="29"/>
      <c r="L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</row>
    <row r="57" spans="1:42">
      <c r="A57" s="29"/>
      <c r="B57" s="29"/>
      <c r="C57" s="29"/>
      <c r="D57" s="29"/>
      <c r="E57" s="29"/>
      <c r="F57" s="29"/>
      <c r="L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</row>
    <row r="58" spans="1:42">
      <c r="A58" s="29"/>
      <c r="B58" s="29"/>
      <c r="C58" s="29"/>
      <c r="D58" s="29"/>
      <c r="E58" s="29"/>
      <c r="F58" s="29"/>
      <c r="L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</row>
    <row r="59" spans="1:42">
      <c r="A59" s="29"/>
      <c r="B59" s="29"/>
      <c r="C59" s="29"/>
      <c r="D59" s="29"/>
      <c r="E59" s="29"/>
      <c r="F59" s="29"/>
      <c r="L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</row>
    <row r="60" spans="1:42">
      <c r="A60" s="29"/>
      <c r="B60" s="29"/>
      <c r="C60" s="29"/>
      <c r="D60" s="29"/>
      <c r="E60" s="29"/>
      <c r="F60" s="29"/>
      <c r="L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</row>
    <row r="61" spans="1:42">
      <c r="A61" s="29"/>
      <c r="B61" s="29"/>
      <c r="C61" s="29"/>
      <c r="D61" s="29"/>
      <c r="E61" s="29"/>
      <c r="F61" s="29"/>
      <c r="L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</row>
    <row r="62" spans="1:42">
      <c r="A62" s="29"/>
      <c r="B62" s="29"/>
      <c r="C62" s="29"/>
      <c r="D62" s="29"/>
      <c r="E62" s="29"/>
      <c r="F62" s="29"/>
      <c r="L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</row>
    <row r="63" spans="1:42">
      <c r="A63" s="29"/>
      <c r="B63" s="29"/>
      <c r="C63" s="29"/>
      <c r="D63" s="29"/>
      <c r="E63" s="29"/>
      <c r="F63" s="29"/>
      <c r="L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</row>
    <row r="64" spans="1:42">
      <c r="A64" s="29"/>
      <c r="B64" s="29"/>
      <c r="C64" s="29"/>
      <c r="D64" s="29"/>
      <c r="E64" s="29"/>
      <c r="F64" s="29"/>
      <c r="L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</row>
    <row r="65" spans="1:42">
      <c r="A65" s="29"/>
      <c r="B65" s="29"/>
      <c r="C65" s="29"/>
      <c r="D65" s="29"/>
      <c r="E65" s="29"/>
      <c r="F65" s="29"/>
      <c r="L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</row>
    <row r="66" spans="1:42">
      <c r="A66" s="29"/>
      <c r="B66" s="29"/>
      <c r="C66" s="29"/>
      <c r="D66" s="29"/>
      <c r="E66" s="29"/>
      <c r="F66" s="29"/>
      <c r="L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</row>
    <row r="67" spans="1:42">
      <c r="A67" s="29"/>
      <c r="B67" s="29"/>
      <c r="C67" s="29"/>
      <c r="D67" s="29"/>
      <c r="E67" s="29"/>
      <c r="F67" s="29"/>
      <c r="L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</row>
    <row r="68" spans="1:42">
      <c r="A68" s="29"/>
      <c r="B68" s="29"/>
      <c r="C68" s="29"/>
      <c r="D68" s="29"/>
      <c r="E68" s="29"/>
      <c r="F68" s="29"/>
      <c r="L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</row>
    <row r="69" spans="1:42">
      <c r="A69" s="29"/>
      <c r="B69" s="29"/>
      <c r="C69" s="29"/>
      <c r="D69" s="29"/>
      <c r="E69" s="29"/>
      <c r="F69" s="29"/>
      <c r="L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</row>
    <row r="70" spans="1:42">
      <c r="A70" s="29"/>
      <c r="B70" s="29"/>
      <c r="C70" s="29"/>
      <c r="D70" s="29"/>
      <c r="E70" s="29"/>
      <c r="F70" s="29"/>
      <c r="L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</row>
    <row r="71" spans="1:42">
      <c r="A71" s="29"/>
      <c r="B71" s="29"/>
      <c r="C71" s="29"/>
      <c r="D71" s="29"/>
      <c r="E71" s="29"/>
      <c r="F71" s="29"/>
      <c r="L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</row>
    <row r="72" spans="1:42">
      <c r="A72" s="29"/>
      <c r="B72" s="29"/>
      <c r="C72" s="29"/>
      <c r="D72" s="29"/>
      <c r="E72" s="29"/>
      <c r="F72" s="29"/>
      <c r="L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</row>
    <row r="73" spans="1:42">
      <c r="A73" s="29"/>
      <c r="B73" s="29"/>
      <c r="C73" s="29"/>
      <c r="D73" s="29"/>
      <c r="E73" s="29"/>
      <c r="F73" s="29"/>
      <c r="L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</row>
    <row r="74" spans="1:42">
      <c r="A74" s="29"/>
      <c r="B74" s="29"/>
      <c r="C74" s="29"/>
      <c r="D74" s="29"/>
      <c r="E74" s="29"/>
      <c r="F74" s="29"/>
      <c r="L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</row>
    <row r="75" spans="1:42">
      <c r="A75" s="29"/>
      <c r="B75" s="29"/>
      <c r="C75" s="29"/>
      <c r="D75" s="29"/>
      <c r="E75" s="29"/>
      <c r="F75" s="29"/>
      <c r="L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</row>
    <row r="76" spans="1:42">
      <c r="A76" s="29"/>
      <c r="B76" s="29"/>
      <c r="C76" s="29"/>
      <c r="D76" s="29"/>
      <c r="E76" s="29"/>
      <c r="F76" s="29"/>
      <c r="L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</row>
    <row r="77" spans="1:42">
      <c r="A77" s="29"/>
      <c r="B77" s="29"/>
      <c r="C77" s="29"/>
      <c r="D77" s="29"/>
      <c r="E77" s="29"/>
      <c r="F77" s="29"/>
      <c r="L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</row>
    <row r="78" spans="1:42">
      <c r="A78" s="29"/>
      <c r="B78" s="29"/>
      <c r="C78" s="29"/>
      <c r="D78" s="29"/>
      <c r="E78" s="29"/>
      <c r="F78" s="29"/>
      <c r="L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</row>
    <row r="79" spans="1:42">
      <c r="A79" s="29"/>
      <c r="B79" s="29"/>
      <c r="C79" s="29"/>
      <c r="D79" s="29"/>
      <c r="E79" s="29"/>
      <c r="F79" s="29"/>
      <c r="L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</row>
    <row r="80" spans="1:42">
      <c r="A80" s="29"/>
      <c r="B80" s="29"/>
      <c r="C80" s="29"/>
      <c r="D80" s="29"/>
      <c r="E80" s="29"/>
      <c r="F80" s="29"/>
      <c r="L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</row>
    <row r="81" spans="1:42">
      <c r="A81" s="29"/>
      <c r="B81" s="29"/>
      <c r="C81" s="29"/>
      <c r="D81" s="29"/>
      <c r="E81" s="29"/>
      <c r="F81" s="29"/>
      <c r="L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</row>
    <row r="82" spans="1:42">
      <c r="A82" s="29"/>
      <c r="B82" s="29"/>
      <c r="C82" s="29"/>
      <c r="D82" s="29"/>
      <c r="E82" s="29"/>
      <c r="F82" s="29"/>
      <c r="L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</row>
    <row r="83" spans="1:42">
      <c r="A83" s="29"/>
      <c r="B83" s="29"/>
      <c r="C83" s="29"/>
      <c r="D83" s="29"/>
      <c r="E83" s="29"/>
      <c r="F83" s="29"/>
      <c r="L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</row>
    <row r="84" spans="1:42">
      <c r="A84" s="29"/>
      <c r="B84" s="29"/>
      <c r="C84" s="29"/>
      <c r="D84" s="29"/>
      <c r="E84" s="29"/>
      <c r="F84" s="29"/>
      <c r="L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</row>
    <row r="85" spans="1:42">
      <c r="A85" s="29"/>
      <c r="B85" s="29"/>
      <c r="C85" s="29"/>
      <c r="D85" s="29"/>
      <c r="E85" s="29"/>
      <c r="F85" s="29"/>
      <c r="L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</row>
    <row r="86" spans="1:42">
      <c r="A86" s="29"/>
      <c r="B86" s="29"/>
      <c r="C86" s="29"/>
      <c r="D86" s="29"/>
      <c r="E86" s="29"/>
      <c r="F86" s="29"/>
      <c r="L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</row>
    <row r="87" spans="1:42">
      <c r="A87" s="29"/>
      <c r="B87" s="29"/>
      <c r="C87" s="29"/>
      <c r="D87" s="29"/>
      <c r="E87" s="29"/>
      <c r="F87" s="29"/>
      <c r="L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</row>
    <row r="88" spans="1:42">
      <c r="A88" s="29"/>
      <c r="B88" s="29"/>
      <c r="C88" s="29"/>
      <c r="D88" s="29"/>
      <c r="E88" s="29"/>
      <c r="F88" s="29"/>
      <c r="L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</row>
    <row r="89" spans="1:42">
      <c r="A89" s="29"/>
      <c r="B89" s="29"/>
      <c r="C89" s="29"/>
      <c r="D89" s="29"/>
      <c r="E89" s="29"/>
      <c r="F89" s="29"/>
      <c r="L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</row>
    <row r="90" spans="1:42">
      <c r="A90" s="29"/>
      <c r="B90" s="29"/>
      <c r="C90" s="29"/>
      <c r="D90" s="29"/>
      <c r="E90" s="29"/>
      <c r="F90" s="29"/>
      <c r="L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</row>
    <row r="91" spans="1:42">
      <c r="A91" s="29"/>
      <c r="B91" s="29"/>
      <c r="C91" s="29"/>
      <c r="D91" s="29"/>
      <c r="E91" s="29"/>
      <c r="F91" s="29"/>
      <c r="L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</row>
    <row r="92" spans="1:42">
      <c r="A92" s="29"/>
      <c r="B92" s="29"/>
      <c r="C92" s="29"/>
      <c r="D92" s="29"/>
      <c r="E92" s="29"/>
      <c r="F92" s="29"/>
      <c r="L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</row>
    <row r="93" spans="1:42">
      <c r="A93" s="29"/>
      <c r="B93" s="29"/>
      <c r="C93" s="29"/>
      <c r="D93" s="29"/>
      <c r="E93" s="29"/>
      <c r="F93" s="29"/>
      <c r="L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</row>
    <row r="94" spans="1:42">
      <c r="A94" s="29"/>
      <c r="B94" s="29"/>
      <c r="C94" s="29"/>
      <c r="D94" s="29"/>
      <c r="E94" s="29"/>
      <c r="F94" s="29"/>
      <c r="L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</row>
    <row r="95" spans="1:42">
      <c r="A95" s="29"/>
      <c r="B95" s="29"/>
      <c r="C95" s="29"/>
      <c r="D95" s="29"/>
      <c r="E95" s="29"/>
      <c r="F95" s="29"/>
      <c r="L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</row>
    <row r="96" spans="1:42">
      <c r="A96" s="29"/>
      <c r="B96" s="29"/>
      <c r="C96" s="29"/>
      <c r="D96" s="29"/>
      <c r="E96" s="29"/>
      <c r="F96" s="29"/>
      <c r="L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</row>
    <row r="97" spans="1:42">
      <c r="A97" s="29"/>
      <c r="B97" s="29"/>
      <c r="C97" s="29"/>
      <c r="D97" s="29"/>
      <c r="E97" s="29"/>
      <c r="F97" s="29"/>
      <c r="L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</row>
    <row r="98" spans="1:42">
      <c r="A98" s="29"/>
      <c r="B98" s="29"/>
      <c r="C98" s="29"/>
      <c r="D98" s="29"/>
      <c r="E98" s="29"/>
      <c r="F98" s="29"/>
      <c r="L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</row>
    <row r="99" spans="1:42">
      <c r="A99" s="29"/>
      <c r="B99" s="29"/>
      <c r="C99" s="29"/>
      <c r="D99" s="29"/>
      <c r="E99" s="29"/>
      <c r="F99" s="29"/>
      <c r="L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</row>
    <row r="100" spans="1:42">
      <c r="A100" s="29"/>
      <c r="B100" s="29"/>
      <c r="C100" s="29"/>
      <c r="D100" s="29"/>
      <c r="E100" s="29"/>
      <c r="F100" s="29"/>
      <c r="L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</row>
    <row r="101" spans="1:42">
      <c r="A101" s="29"/>
      <c r="B101" s="29"/>
      <c r="C101" s="29"/>
      <c r="D101" s="29"/>
      <c r="E101" s="29"/>
      <c r="F101" s="29"/>
      <c r="L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</row>
    <row r="102" spans="1:42">
      <c r="A102" s="29"/>
      <c r="B102" s="29"/>
      <c r="C102" s="29"/>
      <c r="D102" s="29"/>
      <c r="E102" s="29"/>
      <c r="F102" s="29"/>
      <c r="L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</row>
    <row r="103" spans="1:42">
      <c r="A103" s="29"/>
      <c r="B103" s="29"/>
      <c r="C103" s="29"/>
      <c r="D103" s="29"/>
      <c r="E103" s="29"/>
      <c r="F103" s="29"/>
      <c r="L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</row>
    <row r="104" spans="1:42">
      <c r="A104" s="29"/>
      <c r="B104" s="29"/>
      <c r="C104" s="29"/>
      <c r="D104" s="29"/>
      <c r="E104" s="29"/>
      <c r="F104" s="29"/>
      <c r="L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</row>
    <row r="105" ht="22" customHeight="1" spans="1:42">
      <c r="A105" s="34" t="s">
        <v>279</v>
      </c>
      <c r="B105" s="35"/>
      <c r="C105" s="35"/>
      <c r="D105" s="35"/>
      <c r="E105" s="35"/>
      <c r="F105" s="35"/>
      <c r="G105" s="36">
        <f>SUM(G5:G104)</f>
        <v>65000</v>
      </c>
      <c r="H105" s="5"/>
      <c r="I105" s="36">
        <f>SUM(I5:I104)</f>
        <v>13943.75</v>
      </c>
      <c r="J105" s="36">
        <f>SUM(J5:J104)</f>
        <v>51056.25</v>
      </c>
      <c r="K105" s="37">
        <f>IFERROR(J105/G105,0)</f>
        <v>0.785480769230769</v>
      </c>
      <c r="L105" s="35"/>
      <c r="M105" s="5"/>
      <c r="N105" s="35"/>
      <c r="O105" s="35"/>
      <c r="P105" s="35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</row>
    <row r="106" spans="1:42">
      <c r="A106" s="17" t="s">
        <v>280</v>
      </c>
      <c r="B106" s="16" t="s">
        <v>154</v>
      </c>
      <c r="C106" s="17" t="s">
        <v>281</v>
      </c>
      <c r="D106" s="17" t="s">
        <v>214</v>
      </c>
      <c r="E106" s="17">
        <v>1</v>
      </c>
      <c r="F106" s="25">
        <v>250</v>
      </c>
      <c r="G106" s="26">
        <f t="shared" ref="G106:G169" si="0">IFERROR(E106*F106,0)</f>
        <v>250</v>
      </c>
      <c r="H106" s="20">
        <f>IFERROR(VLOOKUP(D106,PRODUCTOS!$B:$O,14,0),0)</f>
        <v>0</v>
      </c>
      <c r="I106" s="20">
        <f t="shared" ref="I106:I169" si="1">IFERROR(E106*H106,0)</f>
        <v>0</v>
      </c>
      <c r="J106" s="26">
        <f t="shared" ref="J106:J169" si="2">IFERROR(G106-I106,0)</f>
        <v>250</v>
      </c>
      <c r="K106" s="30">
        <f t="shared" ref="K106:K169" si="3">IF(G106&gt;0,J106/G106,0)</f>
        <v>1</v>
      </c>
      <c r="L106" s="17">
        <v>30</v>
      </c>
      <c r="M106" s="20">
        <f t="shared" ref="M106:M169" si="4">IF(L106&gt;0,J106/(L106/60),0)</f>
        <v>500</v>
      </c>
      <c r="N106" s="17" t="s">
        <v>282</v>
      </c>
      <c r="AO106" s="17"/>
      <c r="AP106" s="33"/>
    </row>
    <row r="107" spans="1:42">
      <c r="A107" s="17"/>
      <c r="B107" s="16"/>
      <c r="C107" s="17"/>
      <c r="D107" s="17"/>
      <c r="E107" s="17"/>
      <c r="F107" s="25"/>
      <c r="G107" s="26">
        <f t="shared" si="0"/>
        <v>0</v>
      </c>
      <c r="H107" s="20">
        <f>IFERROR(VLOOKUP(D107,PRODUCTOS!$B:$O,14,0),0)</f>
        <v>0</v>
      </c>
      <c r="I107" s="20">
        <f t="shared" si="1"/>
        <v>0</v>
      </c>
      <c r="J107" s="26">
        <f t="shared" si="2"/>
        <v>0</v>
      </c>
      <c r="K107" s="30">
        <f t="shared" si="3"/>
        <v>0</v>
      </c>
      <c r="L107" s="17"/>
      <c r="M107" s="20">
        <f t="shared" si="4"/>
        <v>0</v>
      </c>
      <c r="N107" s="17"/>
      <c r="AO107" s="17"/>
      <c r="AP107" s="33"/>
    </row>
    <row r="108" spans="1:42">
      <c r="A108" s="17"/>
      <c r="B108" s="16"/>
      <c r="C108" s="17"/>
      <c r="D108" s="17"/>
      <c r="E108" s="17"/>
      <c r="F108" s="25"/>
      <c r="G108" s="26">
        <f t="shared" si="0"/>
        <v>0</v>
      </c>
      <c r="H108" s="20">
        <f>IFERROR(VLOOKUP(D108,PRODUCTOS!$B:$O,14,0),0)</f>
        <v>0</v>
      </c>
      <c r="I108" s="20">
        <f t="shared" si="1"/>
        <v>0</v>
      </c>
      <c r="J108" s="26">
        <f t="shared" si="2"/>
        <v>0</v>
      </c>
      <c r="K108" s="30">
        <f t="shared" si="3"/>
        <v>0</v>
      </c>
      <c r="L108" s="17"/>
      <c r="M108" s="20">
        <f t="shared" si="4"/>
        <v>0</v>
      </c>
      <c r="N108" s="17"/>
      <c r="AO108" s="17"/>
      <c r="AP108" s="33"/>
    </row>
    <row r="109" spans="1:42">
      <c r="A109" s="17"/>
      <c r="B109" s="16"/>
      <c r="C109" s="17"/>
      <c r="D109" s="17"/>
      <c r="E109" s="17"/>
      <c r="F109" s="25"/>
      <c r="G109" s="26">
        <f t="shared" si="0"/>
        <v>0</v>
      </c>
      <c r="H109" s="20">
        <f>IFERROR(VLOOKUP(D109,PRODUCTOS!$B:$O,14,0),0)</f>
        <v>0</v>
      </c>
      <c r="I109" s="20">
        <f t="shared" si="1"/>
        <v>0</v>
      </c>
      <c r="J109" s="26">
        <f t="shared" si="2"/>
        <v>0</v>
      </c>
      <c r="K109" s="30">
        <f t="shared" si="3"/>
        <v>0</v>
      </c>
      <c r="L109" s="17"/>
      <c r="M109" s="20">
        <f t="shared" si="4"/>
        <v>0</v>
      </c>
      <c r="N109" s="17"/>
      <c r="AO109" s="17"/>
      <c r="AP109" s="33"/>
    </row>
    <row r="110" spans="1:42">
      <c r="A110" s="17"/>
      <c r="B110" s="16"/>
      <c r="C110" s="17"/>
      <c r="D110" s="17"/>
      <c r="E110" s="17"/>
      <c r="F110" s="25"/>
      <c r="G110" s="26">
        <f t="shared" si="0"/>
        <v>0</v>
      </c>
      <c r="H110" s="20">
        <f>IFERROR(VLOOKUP(D110,PRODUCTOS!$B:$O,14,0),0)</f>
        <v>0</v>
      </c>
      <c r="I110" s="20">
        <f t="shared" si="1"/>
        <v>0</v>
      </c>
      <c r="J110" s="26">
        <f t="shared" si="2"/>
        <v>0</v>
      </c>
      <c r="K110" s="30">
        <f t="shared" si="3"/>
        <v>0</v>
      </c>
      <c r="L110" s="17"/>
      <c r="M110" s="20">
        <f t="shared" si="4"/>
        <v>0</v>
      </c>
      <c r="N110" s="17"/>
      <c r="AO110" s="17"/>
      <c r="AP110" s="33"/>
    </row>
    <row r="111" spans="1:42">
      <c r="A111" s="17"/>
      <c r="B111" s="16"/>
      <c r="C111" s="17"/>
      <c r="D111" s="17"/>
      <c r="E111" s="17"/>
      <c r="F111" s="25"/>
      <c r="G111" s="26">
        <f t="shared" si="0"/>
        <v>0</v>
      </c>
      <c r="H111" s="20">
        <f>IFERROR(VLOOKUP(D111,PRODUCTOS!$B:$O,14,0),0)</f>
        <v>0</v>
      </c>
      <c r="I111" s="20">
        <f t="shared" si="1"/>
        <v>0</v>
      </c>
      <c r="J111" s="26">
        <f t="shared" si="2"/>
        <v>0</v>
      </c>
      <c r="K111" s="30">
        <f t="shared" si="3"/>
        <v>0</v>
      </c>
      <c r="L111" s="17"/>
      <c r="M111" s="20">
        <f t="shared" si="4"/>
        <v>0</v>
      </c>
      <c r="N111" s="17"/>
      <c r="AO111" s="17"/>
      <c r="AP111" s="33"/>
    </row>
    <row r="112" spans="1:42">
      <c r="A112" s="17"/>
      <c r="B112" s="16"/>
      <c r="C112" s="17"/>
      <c r="D112" s="17"/>
      <c r="E112" s="17"/>
      <c r="F112" s="25"/>
      <c r="G112" s="26">
        <f t="shared" si="0"/>
        <v>0</v>
      </c>
      <c r="H112" s="20">
        <f>IFERROR(VLOOKUP(D112,PRODUCTOS!$B:$O,14,0),0)</f>
        <v>0</v>
      </c>
      <c r="I112" s="20">
        <f t="shared" si="1"/>
        <v>0</v>
      </c>
      <c r="J112" s="26">
        <f t="shared" si="2"/>
        <v>0</v>
      </c>
      <c r="K112" s="30">
        <f t="shared" si="3"/>
        <v>0</v>
      </c>
      <c r="L112" s="17"/>
      <c r="M112" s="20">
        <f t="shared" si="4"/>
        <v>0</v>
      </c>
      <c r="N112" s="17"/>
      <c r="AO112" s="17"/>
      <c r="AP112" s="33"/>
    </row>
    <row r="113" spans="1:42">
      <c r="A113" s="17"/>
      <c r="B113" s="16"/>
      <c r="C113" s="17"/>
      <c r="D113" s="17"/>
      <c r="E113" s="17"/>
      <c r="F113" s="25"/>
      <c r="G113" s="26">
        <f t="shared" si="0"/>
        <v>0</v>
      </c>
      <c r="H113" s="20">
        <f>IFERROR(VLOOKUP(D113,PRODUCTOS!$B:$O,14,0),0)</f>
        <v>0</v>
      </c>
      <c r="I113" s="20">
        <f t="shared" si="1"/>
        <v>0</v>
      </c>
      <c r="J113" s="26">
        <f t="shared" si="2"/>
        <v>0</v>
      </c>
      <c r="K113" s="30">
        <f t="shared" si="3"/>
        <v>0</v>
      </c>
      <c r="L113" s="17"/>
      <c r="M113" s="20">
        <f t="shared" si="4"/>
        <v>0</v>
      </c>
      <c r="N113" s="17"/>
      <c r="AO113" s="17"/>
      <c r="AP113" s="33"/>
    </row>
    <row r="114" spans="1:42">
      <c r="A114" s="17"/>
      <c r="B114" s="16"/>
      <c r="C114" s="17"/>
      <c r="D114" s="17"/>
      <c r="E114" s="17"/>
      <c r="F114" s="25"/>
      <c r="G114" s="26">
        <f t="shared" si="0"/>
        <v>0</v>
      </c>
      <c r="H114" s="20">
        <f>IFERROR(VLOOKUP(D114,PRODUCTOS!$B:$O,14,0),0)</f>
        <v>0</v>
      </c>
      <c r="I114" s="20">
        <f t="shared" si="1"/>
        <v>0</v>
      </c>
      <c r="J114" s="26">
        <f t="shared" si="2"/>
        <v>0</v>
      </c>
      <c r="K114" s="30">
        <f t="shared" si="3"/>
        <v>0</v>
      </c>
      <c r="L114" s="17"/>
      <c r="M114" s="20">
        <f t="shared" si="4"/>
        <v>0</v>
      </c>
      <c r="N114" s="17"/>
      <c r="AO114" s="17"/>
      <c r="AP114" s="33"/>
    </row>
    <row r="115" spans="1:42">
      <c r="A115" s="17"/>
      <c r="B115" s="16"/>
      <c r="C115" s="17"/>
      <c r="D115" s="17"/>
      <c r="E115" s="17"/>
      <c r="F115" s="25"/>
      <c r="G115" s="26">
        <f t="shared" si="0"/>
        <v>0</v>
      </c>
      <c r="H115" s="20">
        <f>IFERROR(VLOOKUP(D115,PRODUCTOS!$B:$O,14,0),0)</f>
        <v>0</v>
      </c>
      <c r="I115" s="20">
        <f t="shared" si="1"/>
        <v>0</v>
      </c>
      <c r="J115" s="26">
        <f t="shared" si="2"/>
        <v>0</v>
      </c>
      <c r="K115" s="30">
        <f t="shared" si="3"/>
        <v>0</v>
      </c>
      <c r="L115" s="17"/>
      <c r="M115" s="20">
        <f t="shared" si="4"/>
        <v>0</v>
      </c>
      <c r="N115" s="17"/>
      <c r="AO115" s="17"/>
      <c r="AP115" s="33"/>
    </row>
    <row r="116" spans="1:42">
      <c r="A116" s="17"/>
      <c r="B116" s="16"/>
      <c r="C116" s="17"/>
      <c r="D116" s="17"/>
      <c r="E116" s="17"/>
      <c r="F116" s="25"/>
      <c r="G116" s="26">
        <f t="shared" si="0"/>
        <v>0</v>
      </c>
      <c r="H116" s="20">
        <f>IFERROR(VLOOKUP(D116,PRODUCTOS!$B:$O,14,0),0)</f>
        <v>0</v>
      </c>
      <c r="I116" s="20">
        <f t="shared" si="1"/>
        <v>0</v>
      </c>
      <c r="J116" s="26">
        <f t="shared" si="2"/>
        <v>0</v>
      </c>
      <c r="K116" s="30">
        <f t="shared" si="3"/>
        <v>0</v>
      </c>
      <c r="L116" s="17"/>
      <c r="M116" s="20">
        <f t="shared" si="4"/>
        <v>0</v>
      </c>
      <c r="N116" s="17"/>
      <c r="AO116" s="17"/>
      <c r="AP116" s="33"/>
    </row>
    <row r="117" spans="1:42">
      <c r="A117" s="17"/>
      <c r="B117" s="16"/>
      <c r="C117" s="17"/>
      <c r="D117" s="17"/>
      <c r="E117" s="17"/>
      <c r="F117" s="25"/>
      <c r="G117" s="26">
        <f t="shared" si="0"/>
        <v>0</v>
      </c>
      <c r="H117" s="20">
        <f>IFERROR(VLOOKUP(D117,PRODUCTOS!$B:$O,14,0),0)</f>
        <v>0</v>
      </c>
      <c r="I117" s="20">
        <f t="shared" si="1"/>
        <v>0</v>
      </c>
      <c r="J117" s="26">
        <f t="shared" si="2"/>
        <v>0</v>
      </c>
      <c r="K117" s="30">
        <f t="shared" si="3"/>
        <v>0</v>
      </c>
      <c r="L117" s="17"/>
      <c r="M117" s="20">
        <f t="shared" si="4"/>
        <v>0</v>
      </c>
      <c r="N117" s="17"/>
      <c r="AO117" s="17"/>
      <c r="AP117" s="33"/>
    </row>
    <row r="118" spans="1:42">
      <c r="A118" s="17"/>
      <c r="B118" s="16"/>
      <c r="C118" s="17"/>
      <c r="D118" s="17"/>
      <c r="E118" s="17"/>
      <c r="F118" s="25"/>
      <c r="G118" s="26">
        <f t="shared" si="0"/>
        <v>0</v>
      </c>
      <c r="H118" s="20">
        <f>IFERROR(VLOOKUP(D118,PRODUCTOS!$B:$O,14,0),0)</f>
        <v>0</v>
      </c>
      <c r="I118" s="20">
        <f t="shared" si="1"/>
        <v>0</v>
      </c>
      <c r="J118" s="26">
        <f t="shared" si="2"/>
        <v>0</v>
      </c>
      <c r="K118" s="30">
        <f t="shared" si="3"/>
        <v>0</v>
      </c>
      <c r="L118" s="17"/>
      <c r="M118" s="20">
        <f t="shared" si="4"/>
        <v>0</v>
      </c>
      <c r="N118" s="17"/>
      <c r="AO118" s="17"/>
      <c r="AP118" s="33"/>
    </row>
    <row r="119" spans="1:42">
      <c r="A119" s="17"/>
      <c r="B119" s="16"/>
      <c r="C119" s="17"/>
      <c r="D119" s="17"/>
      <c r="E119" s="17"/>
      <c r="F119" s="25"/>
      <c r="G119" s="26">
        <f t="shared" si="0"/>
        <v>0</v>
      </c>
      <c r="H119" s="20">
        <f>IFERROR(VLOOKUP(D119,PRODUCTOS!$B:$O,14,0),0)</f>
        <v>0</v>
      </c>
      <c r="I119" s="20">
        <f t="shared" si="1"/>
        <v>0</v>
      </c>
      <c r="J119" s="26">
        <f t="shared" si="2"/>
        <v>0</v>
      </c>
      <c r="K119" s="30">
        <f t="shared" si="3"/>
        <v>0</v>
      </c>
      <c r="L119" s="17"/>
      <c r="M119" s="20">
        <f t="shared" si="4"/>
        <v>0</v>
      </c>
      <c r="N119" s="17"/>
      <c r="AO119" s="17"/>
      <c r="AP119" s="33"/>
    </row>
    <row r="120" spans="1:42">
      <c r="A120" s="17"/>
      <c r="B120" s="16"/>
      <c r="C120" s="17"/>
      <c r="D120" s="17"/>
      <c r="E120" s="17"/>
      <c r="F120" s="25"/>
      <c r="G120" s="26">
        <f t="shared" si="0"/>
        <v>0</v>
      </c>
      <c r="H120" s="20">
        <f>IFERROR(VLOOKUP(D120,PRODUCTOS!$B:$O,14,0),0)</f>
        <v>0</v>
      </c>
      <c r="I120" s="20">
        <f t="shared" si="1"/>
        <v>0</v>
      </c>
      <c r="J120" s="26">
        <f t="shared" si="2"/>
        <v>0</v>
      </c>
      <c r="K120" s="30">
        <f t="shared" si="3"/>
        <v>0</v>
      </c>
      <c r="L120" s="17"/>
      <c r="M120" s="20">
        <f t="shared" si="4"/>
        <v>0</v>
      </c>
      <c r="N120" s="17"/>
      <c r="AO120" s="17"/>
      <c r="AP120" s="33"/>
    </row>
    <row r="121" spans="1:42">
      <c r="A121" s="17"/>
      <c r="B121" s="16"/>
      <c r="C121" s="17"/>
      <c r="D121" s="17"/>
      <c r="E121" s="17"/>
      <c r="F121" s="25"/>
      <c r="G121" s="26">
        <f t="shared" si="0"/>
        <v>0</v>
      </c>
      <c r="H121" s="20">
        <f>IFERROR(VLOOKUP(D121,PRODUCTOS!$B:$O,14,0),0)</f>
        <v>0</v>
      </c>
      <c r="I121" s="20">
        <f t="shared" si="1"/>
        <v>0</v>
      </c>
      <c r="J121" s="26">
        <f t="shared" si="2"/>
        <v>0</v>
      </c>
      <c r="K121" s="30">
        <f t="shared" si="3"/>
        <v>0</v>
      </c>
      <c r="L121" s="17"/>
      <c r="M121" s="20">
        <f t="shared" si="4"/>
        <v>0</v>
      </c>
      <c r="N121" s="17"/>
      <c r="AO121" s="17"/>
      <c r="AP121" s="33"/>
    </row>
    <row r="122" spans="1:42">
      <c r="A122" s="17"/>
      <c r="B122" s="16"/>
      <c r="C122" s="17"/>
      <c r="D122" s="17"/>
      <c r="E122" s="17"/>
      <c r="F122" s="25"/>
      <c r="G122" s="26">
        <f t="shared" si="0"/>
        <v>0</v>
      </c>
      <c r="H122" s="20">
        <f>IFERROR(VLOOKUP(D122,PRODUCTOS!$B:$O,14,0),0)</f>
        <v>0</v>
      </c>
      <c r="I122" s="20">
        <f t="shared" si="1"/>
        <v>0</v>
      </c>
      <c r="J122" s="26">
        <f t="shared" si="2"/>
        <v>0</v>
      </c>
      <c r="K122" s="30">
        <f t="shared" si="3"/>
        <v>0</v>
      </c>
      <c r="L122" s="17"/>
      <c r="M122" s="20">
        <f t="shared" si="4"/>
        <v>0</v>
      </c>
      <c r="N122" s="17"/>
      <c r="AO122" s="17"/>
      <c r="AP122" s="33"/>
    </row>
    <row r="123" spans="1:42">
      <c r="A123" s="17"/>
      <c r="B123" s="16"/>
      <c r="C123" s="17"/>
      <c r="D123" s="17"/>
      <c r="E123" s="17"/>
      <c r="F123" s="25"/>
      <c r="G123" s="26">
        <f t="shared" si="0"/>
        <v>0</v>
      </c>
      <c r="H123" s="20">
        <f>IFERROR(VLOOKUP(D123,PRODUCTOS!$B:$O,14,0),0)</f>
        <v>0</v>
      </c>
      <c r="I123" s="20">
        <f t="shared" si="1"/>
        <v>0</v>
      </c>
      <c r="J123" s="26">
        <f t="shared" si="2"/>
        <v>0</v>
      </c>
      <c r="K123" s="30">
        <f t="shared" si="3"/>
        <v>0</v>
      </c>
      <c r="L123" s="17"/>
      <c r="M123" s="20">
        <f t="shared" si="4"/>
        <v>0</v>
      </c>
      <c r="N123" s="17"/>
      <c r="AO123" s="17"/>
      <c r="AP123" s="33"/>
    </row>
    <row r="124" spans="1:42">
      <c r="A124" s="17"/>
      <c r="B124" s="16"/>
      <c r="C124" s="17"/>
      <c r="D124" s="17"/>
      <c r="E124" s="17"/>
      <c r="F124" s="25"/>
      <c r="G124" s="26">
        <f t="shared" si="0"/>
        <v>0</v>
      </c>
      <c r="H124" s="20">
        <f>IFERROR(VLOOKUP(D124,PRODUCTOS!$B:$O,14,0),0)</f>
        <v>0</v>
      </c>
      <c r="I124" s="20">
        <f t="shared" si="1"/>
        <v>0</v>
      </c>
      <c r="J124" s="26">
        <f t="shared" si="2"/>
        <v>0</v>
      </c>
      <c r="K124" s="30">
        <f t="shared" si="3"/>
        <v>0</v>
      </c>
      <c r="L124" s="17"/>
      <c r="M124" s="20">
        <f t="shared" si="4"/>
        <v>0</v>
      </c>
      <c r="N124" s="17"/>
      <c r="AO124" s="17"/>
      <c r="AP124" s="33"/>
    </row>
    <row r="125" spans="1:42">
      <c r="A125" s="17"/>
      <c r="B125" s="16"/>
      <c r="C125" s="17"/>
      <c r="D125" s="17"/>
      <c r="E125" s="17"/>
      <c r="F125" s="25"/>
      <c r="G125" s="26">
        <f t="shared" si="0"/>
        <v>0</v>
      </c>
      <c r="H125" s="20">
        <f>IFERROR(VLOOKUP(D125,PRODUCTOS!$B:$O,14,0),0)</f>
        <v>0</v>
      </c>
      <c r="I125" s="20">
        <f t="shared" si="1"/>
        <v>0</v>
      </c>
      <c r="J125" s="26">
        <f t="shared" si="2"/>
        <v>0</v>
      </c>
      <c r="K125" s="30">
        <f t="shared" si="3"/>
        <v>0</v>
      </c>
      <c r="L125" s="17"/>
      <c r="M125" s="20">
        <f t="shared" si="4"/>
        <v>0</v>
      </c>
      <c r="N125" s="17"/>
      <c r="AO125" s="17"/>
      <c r="AP125" s="33"/>
    </row>
    <row r="126" spans="1:42">
      <c r="A126" s="17"/>
      <c r="B126" s="16"/>
      <c r="C126" s="17"/>
      <c r="D126" s="17"/>
      <c r="E126" s="17"/>
      <c r="F126" s="25"/>
      <c r="G126" s="26">
        <f t="shared" si="0"/>
        <v>0</v>
      </c>
      <c r="H126" s="20">
        <f>IFERROR(VLOOKUP(D126,PRODUCTOS!$B:$O,14,0),0)</f>
        <v>0</v>
      </c>
      <c r="I126" s="20">
        <f t="shared" si="1"/>
        <v>0</v>
      </c>
      <c r="J126" s="26">
        <f t="shared" si="2"/>
        <v>0</v>
      </c>
      <c r="K126" s="30">
        <f t="shared" si="3"/>
        <v>0</v>
      </c>
      <c r="L126" s="17"/>
      <c r="M126" s="20">
        <f t="shared" si="4"/>
        <v>0</v>
      </c>
      <c r="N126" s="17"/>
      <c r="AO126" s="17"/>
      <c r="AP126" s="33"/>
    </row>
    <row r="127" spans="1:42">
      <c r="A127" s="17"/>
      <c r="B127" s="16"/>
      <c r="C127" s="17"/>
      <c r="D127" s="17"/>
      <c r="E127" s="17"/>
      <c r="F127" s="25"/>
      <c r="G127" s="26">
        <f t="shared" si="0"/>
        <v>0</v>
      </c>
      <c r="H127" s="20">
        <f>IFERROR(VLOOKUP(D127,PRODUCTOS!$B:$O,14,0),0)</f>
        <v>0</v>
      </c>
      <c r="I127" s="20">
        <f t="shared" si="1"/>
        <v>0</v>
      </c>
      <c r="J127" s="26">
        <f t="shared" si="2"/>
        <v>0</v>
      </c>
      <c r="K127" s="30">
        <f t="shared" si="3"/>
        <v>0</v>
      </c>
      <c r="L127" s="17"/>
      <c r="M127" s="20">
        <f t="shared" si="4"/>
        <v>0</v>
      </c>
      <c r="N127" s="17"/>
      <c r="AO127" s="17"/>
      <c r="AP127" s="33"/>
    </row>
    <row r="128" spans="1:42">
      <c r="A128" s="17"/>
      <c r="B128" s="16"/>
      <c r="C128" s="17"/>
      <c r="D128" s="17"/>
      <c r="E128" s="17"/>
      <c r="F128" s="25"/>
      <c r="G128" s="26">
        <f t="shared" si="0"/>
        <v>0</v>
      </c>
      <c r="H128" s="20">
        <f>IFERROR(VLOOKUP(D128,PRODUCTOS!$B:$O,14,0),0)</f>
        <v>0</v>
      </c>
      <c r="I128" s="20">
        <f t="shared" si="1"/>
        <v>0</v>
      </c>
      <c r="J128" s="26">
        <f t="shared" si="2"/>
        <v>0</v>
      </c>
      <c r="K128" s="30">
        <f t="shared" si="3"/>
        <v>0</v>
      </c>
      <c r="L128" s="17"/>
      <c r="M128" s="20">
        <f t="shared" si="4"/>
        <v>0</v>
      </c>
      <c r="N128" s="17"/>
      <c r="AO128" s="17"/>
      <c r="AP128" s="33"/>
    </row>
    <row r="129" spans="1:42">
      <c r="A129" s="17"/>
      <c r="B129" s="16"/>
      <c r="C129" s="17"/>
      <c r="D129" s="17"/>
      <c r="E129" s="17"/>
      <c r="F129" s="25"/>
      <c r="G129" s="26">
        <f t="shared" si="0"/>
        <v>0</v>
      </c>
      <c r="H129" s="20">
        <f>IFERROR(VLOOKUP(D129,PRODUCTOS!$B:$O,14,0),0)</f>
        <v>0</v>
      </c>
      <c r="I129" s="20">
        <f t="shared" si="1"/>
        <v>0</v>
      </c>
      <c r="J129" s="26">
        <f t="shared" si="2"/>
        <v>0</v>
      </c>
      <c r="K129" s="30">
        <f t="shared" si="3"/>
        <v>0</v>
      </c>
      <c r="L129" s="17"/>
      <c r="M129" s="20">
        <f t="shared" si="4"/>
        <v>0</v>
      </c>
      <c r="N129" s="17"/>
      <c r="AO129" s="17"/>
      <c r="AP129" s="33"/>
    </row>
    <row r="130" spans="1:42">
      <c r="A130" s="17"/>
      <c r="B130" s="16"/>
      <c r="C130" s="17"/>
      <c r="D130" s="17"/>
      <c r="E130" s="17"/>
      <c r="F130" s="25"/>
      <c r="G130" s="26">
        <f t="shared" si="0"/>
        <v>0</v>
      </c>
      <c r="H130" s="20">
        <f>IFERROR(VLOOKUP(D130,PRODUCTOS!$B:$O,14,0),0)</f>
        <v>0</v>
      </c>
      <c r="I130" s="20">
        <f t="shared" si="1"/>
        <v>0</v>
      </c>
      <c r="J130" s="26">
        <f t="shared" si="2"/>
        <v>0</v>
      </c>
      <c r="K130" s="30">
        <f t="shared" si="3"/>
        <v>0</v>
      </c>
      <c r="L130" s="17"/>
      <c r="M130" s="20">
        <f t="shared" si="4"/>
        <v>0</v>
      </c>
      <c r="N130" s="17"/>
      <c r="AO130" s="17"/>
      <c r="AP130" s="33"/>
    </row>
    <row r="131" spans="1:42">
      <c r="A131" s="17"/>
      <c r="B131" s="16"/>
      <c r="C131" s="17"/>
      <c r="D131" s="17"/>
      <c r="E131" s="17"/>
      <c r="F131" s="25"/>
      <c r="G131" s="26">
        <f t="shared" si="0"/>
        <v>0</v>
      </c>
      <c r="H131" s="20">
        <f>IFERROR(VLOOKUP(D131,PRODUCTOS!$B:$O,14,0),0)</f>
        <v>0</v>
      </c>
      <c r="I131" s="20">
        <f t="shared" si="1"/>
        <v>0</v>
      </c>
      <c r="J131" s="26">
        <f t="shared" si="2"/>
        <v>0</v>
      </c>
      <c r="K131" s="30">
        <f t="shared" si="3"/>
        <v>0</v>
      </c>
      <c r="L131" s="17"/>
      <c r="M131" s="20">
        <f t="shared" si="4"/>
        <v>0</v>
      </c>
      <c r="N131" s="17"/>
      <c r="AO131" s="17"/>
      <c r="AP131" s="33"/>
    </row>
    <row r="132" spans="1:42">
      <c r="A132" s="17"/>
      <c r="B132" s="16"/>
      <c r="C132" s="17"/>
      <c r="D132" s="17"/>
      <c r="E132" s="17"/>
      <c r="F132" s="25"/>
      <c r="G132" s="26">
        <f t="shared" si="0"/>
        <v>0</v>
      </c>
      <c r="H132" s="20">
        <f>IFERROR(VLOOKUP(D132,PRODUCTOS!$B:$O,14,0),0)</f>
        <v>0</v>
      </c>
      <c r="I132" s="20">
        <f t="shared" si="1"/>
        <v>0</v>
      </c>
      <c r="J132" s="26">
        <f t="shared" si="2"/>
        <v>0</v>
      </c>
      <c r="K132" s="30">
        <f t="shared" si="3"/>
        <v>0</v>
      </c>
      <c r="L132" s="17"/>
      <c r="M132" s="20">
        <f t="shared" si="4"/>
        <v>0</v>
      </c>
      <c r="N132" s="17"/>
      <c r="AO132" s="17"/>
      <c r="AP132" s="33"/>
    </row>
    <row r="133" spans="1:42">
      <c r="A133" s="17"/>
      <c r="B133" s="16"/>
      <c r="C133" s="17"/>
      <c r="D133" s="17"/>
      <c r="E133" s="17"/>
      <c r="F133" s="25"/>
      <c r="G133" s="26">
        <f t="shared" si="0"/>
        <v>0</v>
      </c>
      <c r="H133" s="20">
        <f>IFERROR(VLOOKUP(D133,PRODUCTOS!$B:$O,14,0),0)</f>
        <v>0</v>
      </c>
      <c r="I133" s="20">
        <f t="shared" si="1"/>
        <v>0</v>
      </c>
      <c r="J133" s="26">
        <f t="shared" si="2"/>
        <v>0</v>
      </c>
      <c r="K133" s="30">
        <f t="shared" si="3"/>
        <v>0</v>
      </c>
      <c r="L133" s="17"/>
      <c r="M133" s="20">
        <f t="shared" si="4"/>
        <v>0</v>
      </c>
      <c r="N133" s="17"/>
      <c r="AO133" s="17"/>
      <c r="AP133" s="33"/>
    </row>
    <row r="134" spans="1:42">
      <c r="A134" s="17"/>
      <c r="B134" s="16"/>
      <c r="C134" s="17"/>
      <c r="D134" s="17"/>
      <c r="E134" s="17"/>
      <c r="F134" s="25"/>
      <c r="G134" s="26">
        <f t="shared" si="0"/>
        <v>0</v>
      </c>
      <c r="H134" s="20">
        <f>IFERROR(VLOOKUP(D134,PRODUCTOS!$B:$O,14,0),0)</f>
        <v>0</v>
      </c>
      <c r="I134" s="20">
        <f t="shared" si="1"/>
        <v>0</v>
      </c>
      <c r="J134" s="26">
        <f t="shared" si="2"/>
        <v>0</v>
      </c>
      <c r="K134" s="30">
        <f t="shared" si="3"/>
        <v>0</v>
      </c>
      <c r="L134" s="17"/>
      <c r="M134" s="20">
        <f t="shared" si="4"/>
        <v>0</v>
      </c>
      <c r="N134" s="17"/>
      <c r="AO134" s="17"/>
      <c r="AP134" s="33"/>
    </row>
    <row r="135" spans="1:42">
      <c r="A135" s="17"/>
      <c r="B135" s="16"/>
      <c r="C135" s="17"/>
      <c r="D135" s="17"/>
      <c r="E135" s="17"/>
      <c r="F135" s="25"/>
      <c r="G135" s="26">
        <f t="shared" si="0"/>
        <v>0</v>
      </c>
      <c r="H135" s="20">
        <f>IFERROR(VLOOKUP(D135,PRODUCTOS!$B:$O,14,0),0)</f>
        <v>0</v>
      </c>
      <c r="I135" s="20">
        <f t="shared" si="1"/>
        <v>0</v>
      </c>
      <c r="J135" s="26">
        <f t="shared" si="2"/>
        <v>0</v>
      </c>
      <c r="K135" s="30">
        <f t="shared" si="3"/>
        <v>0</v>
      </c>
      <c r="L135" s="17"/>
      <c r="M135" s="20">
        <f t="shared" si="4"/>
        <v>0</v>
      </c>
      <c r="N135" s="17"/>
      <c r="AO135" s="17"/>
      <c r="AP135" s="33"/>
    </row>
    <row r="136" spans="1:42">
      <c r="A136" s="17"/>
      <c r="B136" s="16"/>
      <c r="C136" s="17"/>
      <c r="D136" s="17"/>
      <c r="E136" s="17"/>
      <c r="F136" s="25"/>
      <c r="G136" s="26">
        <f t="shared" si="0"/>
        <v>0</v>
      </c>
      <c r="H136" s="20">
        <f>IFERROR(VLOOKUP(D136,PRODUCTOS!$B:$O,14,0),0)</f>
        <v>0</v>
      </c>
      <c r="I136" s="20">
        <f t="shared" si="1"/>
        <v>0</v>
      </c>
      <c r="J136" s="26">
        <f t="shared" si="2"/>
        <v>0</v>
      </c>
      <c r="K136" s="30">
        <f t="shared" si="3"/>
        <v>0</v>
      </c>
      <c r="L136" s="17"/>
      <c r="M136" s="20">
        <f t="shared" si="4"/>
        <v>0</v>
      </c>
      <c r="N136" s="17"/>
      <c r="AO136" s="17"/>
      <c r="AP136" s="33"/>
    </row>
    <row r="137" spans="1:42">
      <c r="A137" s="17"/>
      <c r="B137" s="16"/>
      <c r="C137" s="17"/>
      <c r="D137" s="17"/>
      <c r="E137" s="17"/>
      <c r="F137" s="25"/>
      <c r="G137" s="26">
        <f t="shared" si="0"/>
        <v>0</v>
      </c>
      <c r="H137" s="20">
        <f>IFERROR(VLOOKUP(D137,PRODUCTOS!$B:$O,14,0),0)</f>
        <v>0</v>
      </c>
      <c r="I137" s="20">
        <f t="shared" si="1"/>
        <v>0</v>
      </c>
      <c r="J137" s="26">
        <f t="shared" si="2"/>
        <v>0</v>
      </c>
      <c r="K137" s="30">
        <f t="shared" si="3"/>
        <v>0</v>
      </c>
      <c r="L137" s="17"/>
      <c r="M137" s="20">
        <f t="shared" si="4"/>
        <v>0</v>
      </c>
      <c r="N137" s="17"/>
      <c r="AO137" s="17"/>
      <c r="AP137" s="33"/>
    </row>
    <row r="138" spans="1:42">
      <c r="A138" s="17"/>
      <c r="B138" s="16"/>
      <c r="C138" s="17"/>
      <c r="D138" s="17"/>
      <c r="E138" s="17"/>
      <c r="F138" s="25"/>
      <c r="G138" s="26">
        <f t="shared" si="0"/>
        <v>0</v>
      </c>
      <c r="H138" s="20">
        <f>IFERROR(VLOOKUP(D138,PRODUCTOS!$B:$O,14,0),0)</f>
        <v>0</v>
      </c>
      <c r="I138" s="20">
        <f t="shared" si="1"/>
        <v>0</v>
      </c>
      <c r="J138" s="26">
        <f t="shared" si="2"/>
        <v>0</v>
      </c>
      <c r="K138" s="30">
        <f t="shared" si="3"/>
        <v>0</v>
      </c>
      <c r="L138" s="17"/>
      <c r="M138" s="20">
        <f t="shared" si="4"/>
        <v>0</v>
      </c>
      <c r="N138" s="17"/>
      <c r="AO138" s="17"/>
      <c r="AP138" s="33"/>
    </row>
    <row r="139" spans="1:42">
      <c r="A139" s="17"/>
      <c r="B139" s="16"/>
      <c r="C139" s="17"/>
      <c r="D139" s="17"/>
      <c r="E139" s="17"/>
      <c r="F139" s="25"/>
      <c r="G139" s="26">
        <f t="shared" si="0"/>
        <v>0</v>
      </c>
      <c r="H139" s="20">
        <f>IFERROR(VLOOKUP(D139,PRODUCTOS!$B:$O,14,0),0)</f>
        <v>0</v>
      </c>
      <c r="I139" s="20">
        <f t="shared" si="1"/>
        <v>0</v>
      </c>
      <c r="J139" s="26">
        <f t="shared" si="2"/>
        <v>0</v>
      </c>
      <c r="K139" s="30">
        <f t="shared" si="3"/>
        <v>0</v>
      </c>
      <c r="L139" s="17"/>
      <c r="M139" s="20">
        <f t="shared" si="4"/>
        <v>0</v>
      </c>
      <c r="N139" s="17"/>
      <c r="AO139" s="17"/>
      <c r="AP139" s="33"/>
    </row>
    <row r="140" spans="1:42">
      <c r="A140" s="17"/>
      <c r="B140" s="16"/>
      <c r="C140" s="17"/>
      <c r="D140" s="17"/>
      <c r="E140" s="17"/>
      <c r="F140" s="25"/>
      <c r="G140" s="26">
        <f t="shared" si="0"/>
        <v>0</v>
      </c>
      <c r="H140" s="20">
        <f>IFERROR(VLOOKUP(D140,PRODUCTOS!$B:$O,14,0),0)</f>
        <v>0</v>
      </c>
      <c r="I140" s="20">
        <f t="shared" si="1"/>
        <v>0</v>
      </c>
      <c r="J140" s="26">
        <f t="shared" si="2"/>
        <v>0</v>
      </c>
      <c r="K140" s="30">
        <f t="shared" si="3"/>
        <v>0</v>
      </c>
      <c r="L140" s="17"/>
      <c r="M140" s="20">
        <f t="shared" si="4"/>
        <v>0</v>
      </c>
      <c r="N140" s="17"/>
      <c r="AO140" s="17"/>
      <c r="AP140" s="33"/>
    </row>
    <row r="141" spans="1:42">
      <c r="A141" s="17"/>
      <c r="B141" s="16"/>
      <c r="C141" s="17"/>
      <c r="D141" s="17"/>
      <c r="E141" s="17"/>
      <c r="F141" s="25"/>
      <c r="G141" s="26">
        <f t="shared" si="0"/>
        <v>0</v>
      </c>
      <c r="H141" s="20">
        <f>IFERROR(VLOOKUP(D141,PRODUCTOS!$B:$O,14,0),0)</f>
        <v>0</v>
      </c>
      <c r="I141" s="20">
        <f t="shared" si="1"/>
        <v>0</v>
      </c>
      <c r="J141" s="26">
        <f t="shared" si="2"/>
        <v>0</v>
      </c>
      <c r="K141" s="30">
        <f t="shared" si="3"/>
        <v>0</v>
      </c>
      <c r="L141" s="17"/>
      <c r="M141" s="20">
        <f t="shared" si="4"/>
        <v>0</v>
      </c>
      <c r="N141" s="17"/>
      <c r="AO141" s="17"/>
      <c r="AP141" s="33"/>
    </row>
    <row r="142" spans="1:42">
      <c r="A142" s="17"/>
      <c r="B142" s="16"/>
      <c r="C142" s="17"/>
      <c r="D142" s="17"/>
      <c r="E142" s="17"/>
      <c r="F142" s="25"/>
      <c r="G142" s="26">
        <f t="shared" si="0"/>
        <v>0</v>
      </c>
      <c r="H142" s="20">
        <f>IFERROR(VLOOKUP(D142,PRODUCTOS!$B:$O,14,0),0)</f>
        <v>0</v>
      </c>
      <c r="I142" s="20">
        <f t="shared" si="1"/>
        <v>0</v>
      </c>
      <c r="J142" s="26">
        <f t="shared" si="2"/>
        <v>0</v>
      </c>
      <c r="K142" s="30">
        <f t="shared" si="3"/>
        <v>0</v>
      </c>
      <c r="L142" s="17"/>
      <c r="M142" s="20">
        <f t="shared" si="4"/>
        <v>0</v>
      </c>
      <c r="N142" s="17"/>
      <c r="AO142" s="17"/>
      <c r="AP142" s="33"/>
    </row>
    <row r="143" spans="1:42">
      <c r="A143" s="17"/>
      <c r="B143" s="16"/>
      <c r="C143" s="17"/>
      <c r="D143" s="17"/>
      <c r="E143" s="17"/>
      <c r="F143" s="25"/>
      <c r="G143" s="26">
        <f t="shared" si="0"/>
        <v>0</v>
      </c>
      <c r="H143" s="20">
        <f>IFERROR(VLOOKUP(D143,PRODUCTOS!$B:$O,14,0),0)</f>
        <v>0</v>
      </c>
      <c r="I143" s="20">
        <f t="shared" si="1"/>
        <v>0</v>
      </c>
      <c r="J143" s="26">
        <f t="shared" si="2"/>
        <v>0</v>
      </c>
      <c r="K143" s="30">
        <f t="shared" si="3"/>
        <v>0</v>
      </c>
      <c r="L143" s="17"/>
      <c r="M143" s="20">
        <f t="shared" si="4"/>
        <v>0</v>
      </c>
      <c r="N143" s="17"/>
      <c r="AO143" s="17"/>
      <c r="AP143" s="33"/>
    </row>
    <row r="144" spans="1:42">
      <c r="A144" s="17"/>
      <c r="B144" s="16"/>
      <c r="C144" s="17"/>
      <c r="D144" s="17"/>
      <c r="E144" s="17"/>
      <c r="F144" s="25"/>
      <c r="G144" s="26">
        <f t="shared" si="0"/>
        <v>0</v>
      </c>
      <c r="H144" s="20">
        <f>IFERROR(VLOOKUP(D144,PRODUCTOS!$B:$O,14,0),0)</f>
        <v>0</v>
      </c>
      <c r="I144" s="20">
        <f t="shared" si="1"/>
        <v>0</v>
      </c>
      <c r="J144" s="26">
        <f t="shared" si="2"/>
        <v>0</v>
      </c>
      <c r="K144" s="30">
        <f t="shared" si="3"/>
        <v>0</v>
      </c>
      <c r="L144" s="17"/>
      <c r="M144" s="20">
        <f t="shared" si="4"/>
        <v>0</v>
      </c>
      <c r="N144" s="17"/>
      <c r="AO144" s="17"/>
      <c r="AP144" s="33"/>
    </row>
    <row r="145" spans="1:42">
      <c r="A145" s="17"/>
      <c r="B145" s="16"/>
      <c r="C145" s="17"/>
      <c r="D145" s="17"/>
      <c r="E145" s="17"/>
      <c r="F145" s="25"/>
      <c r="G145" s="26">
        <f t="shared" si="0"/>
        <v>0</v>
      </c>
      <c r="H145" s="20">
        <f>IFERROR(VLOOKUP(D145,PRODUCTOS!$B:$O,14,0),0)</f>
        <v>0</v>
      </c>
      <c r="I145" s="20">
        <f t="shared" si="1"/>
        <v>0</v>
      </c>
      <c r="J145" s="26">
        <f t="shared" si="2"/>
        <v>0</v>
      </c>
      <c r="K145" s="30">
        <f t="shared" si="3"/>
        <v>0</v>
      </c>
      <c r="L145" s="17"/>
      <c r="M145" s="20">
        <f t="shared" si="4"/>
        <v>0</v>
      </c>
      <c r="N145" s="17"/>
      <c r="AO145" s="17"/>
      <c r="AP145" s="33"/>
    </row>
    <row r="146" spans="1:42">
      <c r="A146" s="17"/>
      <c r="B146" s="16"/>
      <c r="C146" s="17"/>
      <c r="D146" s="17"/>
      <c r="E146" s="17"/>
      <c r="F146" s="25"/>
      <c r="G146" s="26">
        <f t="shared" si="0"/>
        <v>0</v>
      </c>
      <c r="H146" s="20">
        <f>IFERROR(VLOOKUP(D146,PRODUCTOS!$B:$O,14,0),0)</f>
        <v>0</v>
      </c>
      <c r="I146" s="20">
        <f t="shared" si="1"/>
        <v>0</v>
      </c>
      <c r="J146" s="26">
        <f t="shared" si="2"/>
        <v>0</v>
      </c>
      <c r="K146" s="30">
        <f t="shared" si="3"/>
        <v>0</v>
      </c>
      <c r="L146" s="17"/>
      <c r="M146" s="20">
        <f t="shared" si="4"/>
        <v>0</v>
      </c>
      <c r="N146" s="17"/>
      <c r="AO146" s="17"/>
      <c r="AP146" s="33"/>
    </row>
    <row r="147" spans="1:42">
      <c r="A147" s="17"/>
      <c r="B147" s="16"/>
      <c r="C147" s="17"/>
      <c r="D147" s="17"/>
      <c r="E147" s="17"/>
      <c r="F147" s="25"/>
      <c r="G147" s="26">
        <f t="shared" si="0"/>
        <v>0</v>
      </c>
      <c r="H147" s="20">
        <f>IFERROR(VLOOKUP(D147,PRODUCTOS!$B:$O,14,0),0)</f>
        <v>0</v>
      </c>
      <c r="I147" s="20">
        <f t="shared" si="1"/>
        <v>0</v>
      </c>
      <c r="J147" s="26">
        <f t="shared" si="2"/>
        <v>0</v>
      </c>
      <c r="K147" s="30">
        <f t="shared" si="3"/>
        <v>0</v>
      </c>
      <c r="L147" s="17"/>
      <c r="M147" s="20">
        <f t="shared" si="4"/>
        <v>0</v>
      </c>
      <c r="N147" s="17"/>
      <c r="AO147" s="17"/>
      <c r="AP147" s="33"/>
    </row>
    <row r="148" spans="1:42">
      <c r="A148" s="17"/>
      <c r="B148" s="16"/>
      <c r="C148" s="17"/>
      <c r="D148" s="17"/>
      <c r="E148" s="17"/>
      <c r="F148" s="25"/>
      <c r="G148" s="26">
        <f t="shared" si="0"/>
        <v>0</v>
      </c>
      <c r="H148" s="20">
        <f>IFERROR(VLOOKUP(D148,PRODUCTOS!$B:$O,14,0),0)</f>
        <v>0</v>
      </c>
      <c r="I148" s="20">
        <f t="shared" si="1"/>
        <v>0</v>
      </c>
      <c r="J148" s="26">
        <f t="shared" si="2"/>
        <v>0</v>
      </c>
      <c r="K148" s="30">
        <f t="shared" si="3"/>
        <v>0</v>
      </c>
      <c r="L148" s="17"/>
      <c r="M148" s="20">
        <f t="shared" si="4"/>
        <v>0</v>
      </c>
      <c r="N148" s="17"/>
      <c r="AO148" s="17"/>
      <c r="AP148" s="33"/>
    </row>
    <row r="149" spans="1:42">
      <c r="A149" s="17"/>
      <c r="B149" s="16"/>
      <c r="C149" s="17"/>
      <c r="D149" s="17"/>
      <c r="E149" s="17"/>
      <c r="F149" s="25"/>
      <c r="G149" s="26">
        <f t="shared" si="0"/>
        <v>0</v>
      </c>
      <c r="H149" s="20">
        <f>IFERROR(VLOOKUP(D149,PRODUCTOS!$B:$O,14,0),0)</f>
        <v>0</v>
      </c>
      <c r="I149" s="20">
        <f t="shared" si="1"/>
        <v>0</v>
      </c>
      <c r="J149" s="26">
        <f t="shared" si="2"/>
        <v>0</v>
      </c>
      <c r="K149" s="30">
        <f t="shared" si="3"/>
        <v>0</v>
      </c>
      <c r="L149" s="17"/>
      <c r="M149" s="20">
        <f t="shared" si="4"/>
        <v>0</v>
      </c>
      <c r="N149" s="17"/>
      <c r="AO149" s="17"/>
      <c r="AP149" s="33"/>
    </row>
    <row r="150" spans="1:42">
      <c r="A150" s="17"/>
      <c r="B150" s="16"/>
      <c r="C150" s="17"/>
      <c r="D150" s="17"/>
      <c r="E150" s="17"/>
      <c r="F150" s="25"/>
      <c r="G150" s="26">
        <f t="shared" si="0"/>
        <v>0</v>
      </c>
      <c r="H150" s="20">
        <f>IFERROR(VLOOKUP(D150,PRODUCTOS!$B:$O,14,0),0)</f>
        <v>0</v>
      </c>
      <c r="I150" s="20">
        <f t="shared" si="1"/>
        <v>0</v>
      </c>
      <c r="J150" s="26">
        <f t="shared" si="2"/>
        <v>0</v>
      </c>
      <c r="K150" s="30">
        <f t="shared" si="3"/>
        <v>0</v>
      </c>
      <c r="L150" s="17"/>
      <c r="M150" s="20">
        <f t="shared" si="4"/>
        <v>0</v>
      </c>
      <c r="N150" s="17"/>
      <c r="AO150" s="17"/>
      <c r="AP150" s="33"/>
    </row>
    <row r="151" spans="1:42">
      <c r="A151" s="17"/>
      <c r="B151" s="16"/>
      <c r="C151" s="17"/>
      <c r="D151" s="17"/>
      <c r="E151" s="17"/>
      <c r="F151" s="25"/>
      <c r="G151" s="26">
        <f t="shared" si="0"/>
        <v>0</v>
      </c>
      <c r="H151" s="20">
        <f>IFERROR(VLOOKUP(D151,PRODUCTOS!$B:$O,14,0),0)</f>
        <v>0</v>
      </c>
      <c r="I151" s="20">
        <f t="shared" si="1"/>
        <v>0</v>
      </c>
      <c r="J151" s="26">
        <f t="shared" si="2"/>
        <v>0</v>
      </c>
      <c r="K151" s="30">
        <f t="shared" si="3"/>
        <v>0</v>
      </c>
      <c r="L151" s="17"/>
      <c r="M151" s="20">
        <f t="shared" si="4"/>
        <v>0</v>
      </c>
      <c r="N151" s="17"/>
      <c r="AO151" s="17"/>
      <c r="AP151" s="33"/>
    </row>
    <row r="152" spans="1:42">
      <c r="A152" s="17"/>
      <c r="B152" s="16"/>
      <c r="C152" s="17"/>
      <c r="D152" s="17"/>
      <c r="E152" s="17"/>
      <c r="F152" s="25"/>
      <c r="G152" s="26">
        <f t="shared" si="0"/>
        <v>0</v>
      </c>
      <c r="H152" s="20">
        <f>IFERROR(VLOOKUP(D152,PRODUCTOS!$B:$O,14,0),0)</f>
        <v>0</v>
      </c>
      <c r="I152" s="20">
        <f t="shared" si="1"/>
        <v>0</v>
      </c>
      <c r="J152" s="26">
        <f t="shared" si="2"/>
        <v>0</v>
      </c>
      <c r="K152" s="30">
        <f t="shared" si="3"/>
        <v>0</v>
      </c>
      <c r="L152" s="17"/>
      <c r="M152" s="20">
        <f t="shared" si="4"/>
        <v>0</v>
      </c>
      <c r="N152" s="17"/>
      <c r="AO152" s="17"/>
      <c r="AP152" s="33"/>
    </row>
    <row r="153" spans="1:42">
      <c r="A153" s="17"/>
      <c r="B153" s="16"/>
      <c r="C153" s="17"/>
      <c r="D153" s="17"/>
      <c r="E153" s="17"/>
      <c r="F153" s="25"/>
      <c r="G153" s="26">
        <f t="shared" si="0"/>
        <v>0</v>
      </c>
      <c r="H153" s="20">
        <f>IFERROR(VLOOKUP(D153,PRODUCTOS!$B:$O,14,0),0)</f>
        <v>0</v>
      </c>
      <c r="I153" s="20">
        <f t="shared" si="1"/>
        <v>0</v>
      </c>
      <c r="J153" s="26">
        <f t="shared" si="2"/>
        <v>0</v>
      </c>
      <c r="K153" s="30">
        <f t="shared" si="3"/>
        <v>0</v>
      </c>
      <c r="L153" s="17"/>
      <c r="M153" s="20">
        <f t="shared" si="4"/>
        <v>0</v>
      </c>
      <c r="N153" s="17"/>
      <c r="AO153" s="17"/>
      <c r="AP153" s="33"/>
    </row>
    <row r="154" spans="1:42">
      <c r="A154" s="17"/>
      <c r="B154" s="16"/>
      <c r="C154" s="17"/>
      <c r="D154" s="17"/>
      <c r="E154" s="17"/>
      <c r="F154" s="25"/>
      <c r="G154" s="26">
        <f t="shared" si="0"/>
        <v>0</v>
      </c>
      <c r="H154" s="20">
        <f>IFERROR(VLOOKUP(D154,PRODUCTOS!$B:$O,14,0),0)</f>
        <v>0</v>
      </c>
      <c r="I154" s="20">
        <f t="shared" si="1"/>
        <v>0</v>
      </c>
      <c r="J154" s="26">
        <f t="shared" si="2"/>
        <v>0</v>
      </c>
      <c r="K154" s="30">
        <f t="shared" si="3"/>
        <v>0</v>
      </c>
      <c r="L154" s="17"/>
      <c r="M154" s="20">
        <f t="shared" si="4"/>
        <v>0</v>
      </c>
      <c r="N154" s="17"/>
      <c r="AO154" s="17"/>
      <c r="AP154" s="33"/>
    </row>
    <row r="155" spans="1:42">
      <c r="A155" s="17"/>
      <c r="B155" s="16"/>
      <c r="C155" s="17"/>
      <c r="D155" s="17"/>
      <c r="E155" s="17"/>
      <c r="F155" s="25"/>
      <c r="G155" s="26">
        <f t="shared" si="0"/>
        <v>0</v>
      </c>
      <c r="H155" s="20">
        <f>IFERROR(VLOOKUP(D155,PRODUCTOS!$B:$O,14,0),0)</f>
        <v>0</v>
      </c>
      <c r="I155" s="20">
        <f t="shared" si="1"/>
        <v>0</v>
      </c>
      <c r="J155" s="26">
        <f t="shared" si="2"/>
        <v>0</v>
      </c>
      <c r="K155" s="30">
        <f t="shared" si="3"/>
        <v>0</v>
      </c>
      <c r="L155" s="17"/>
      <c r="M155" s="20">
        <f t="shared" si="4"/>
        <v>0</v>
      </c>
      <c r="N155" s="17"/>
      <c r="AO155" s="17"/>
      <c r="AP155" s="33"/>
    </row>
    <row r="156" spans="1:42">
      <c r="A156" s="17"/>
      <c r="B156" s="16"/>
      <c r="C156" s="17"/>
      <c r="D156" s="17"/>
      <c r="E156" s="17"/>
      <c r="F156" s="25"/>
      <c r="G156" s="26">
        <f t="shared" si="0"/>
        <v>0</v>
      </c>
      <c r="H156" s="20">
        <f>IFERROR(VLOOKUP(D156,PRODUCTOS!$B:$O,14,0),0)</f>
        <v>0</v>
      </c>
      <c r="I156" s="20">
        <f t="shared" si="1"/>
        <v>0</v>
      </c>
      <c r="J156" s="26">
        <f t="shared" si="2"/>
        <v>0</v>
      </c>
      <c r="K156" s="30">
        <f t="shared" si="3"/>
        <v>0</v>
      </c>
      <c r="L156" s="17"/>
      <c r="M156" s="20">
        <f t="shared" si="4"/>
        <v>0</v>
      </c>
      <c r="N156" s="17"/>
      <c r="AO156" s="17"/>
      <c r="AP156" s="33"/>
    </row>
    <row r="157" spans="1:42">
      <c r="A157" s="17"/>
      <c r="B157" s="16"/>
      <c r="C157" s="17"/>
      <c r="D157" s="17"/>
      <c r="E157" s="17"/>
      <c r="F157" s="25"/>
      <c r="G157" s="26">
        <f t="shared" si="0"/>
        <v>0</v>
      </c>
      <c r="H157" s="20">
        <f>IFERROR(VLOOKUP(D157,PRODUCTOS!$B:$O,14,0),0)</f>
        <v>0</v>
      </c>
      <c r="I157" s="20">
        <f t="shared" si="1"/>
        <v>0</v>
      </c>
      <c r="J157" s="26">
        <f t="shared" si="2"/>
        <v>0</v>
      </c>
      <c r="K157" s="30">
        <f t="shared" si="3"/>
        <v>0</v>
      </c>
      <c r="L157" s="17"/>
      <c r="M157" s="20">
        <f t="shared" si="4"/>
        <v>0</v>
      </c>
      <c r="N157" s="17"/>
      <c r="AO157" s="17"/>
      <c r="AP157" s="33"/>
    </row>
    <row r="158" spans="1:42">
      <c r="A158" s="17"/>
      <c r="B158" s="16"/>
      <c r="C158" s="17"/>
      <c r="D158" s="17"/>
      <c r="E158" s="17"/>
      <c r="F158" s="25"/>
      <c r="G158" s="26">
        <f t="shared" si="0"/>
        <v>0</v>
      </c>
      <c r="H158" s="20">
        <f>IFERROR(VLOOKUP(D158,PRODUCTOS!$B:$O,14,0),0)</f>
        <v>0</v>
      </c>
      <c r="I158" s="20">
        <f t="shared" si="1"/>
        <v>0</v>
      </c>
      <c r="J158" s="26">
        <f t="shared" si="2"/>
        <v>0</v>
      </c>
      <c r="K158" s="30">
        <f t="shared" si="3"/>
        <v>0</v>
      </c>
      <c r="L158" s="17"/>
      <c r="M158" s="20">
        <f t="shared" si="4"/>
        <v>0</v>
      </c>
      <c r="N158" s="17"/>
      <c r="AO158" s="17"/>
      <c r="AP158" s="33"/>
    </row>
    <row r="159" spans="1:42">
      <c r="A159" s="17"/>
      <c r="B159" s="16"/>
      <c r="C159" s="17"/>
      <c r="D159" s="17"/>
      <c r="E159" s="17"/>
      <c r="F159" s="25"/>
      <c r="G159" s="26">
        <f t="shared" si="0"/>
        <v>0</v>
      </c>
      <c r="H159" s="20">
        <f>IFERROR(VLOOKUP(D159,PRODUCTOS!$B:$O,14,0),0)</f>
        <v>0</v>
      </c>
      <c r="I159" s="20">
        <f t="shared" si="1"/>
        <v>0</v>
      </c>
      <c r="J159" s="26">
        <f t="shared" si="2"/>
        <v>0</v>
      </c>
      <c r="K159" s="30">
        <f t="shared" si="3"/>
        <v>0</v>
      </c>
      <c r="L159" s="17"/>
      <c r="M159" s="20">
        <f t="shared" si="4"/>
        <v>0</v>
      </c>
      <c r="N159" s="17"/>
      <c r="AO159" s="17"/>
      <c r="AP159" s="33"/>
    </row>
    <row r="160" spans="1:42">
      <c r="A160" s="17"/>
      <c r="B160" s="16"/>
      <c r="C160" s="17"/>
      <c r="D160" s="17"/>
      <c r="E160" s="17"/>
      <c r="F160" s="25"/>
      <c r="G160" s="26">
        <f t="shared" si="0"/>
        <v>0</v>
      </c>
      <c r="H160" s="20">
        <f>IFERROR(VLOOKUP(D160,PRODUCTOS!$B:$O,14,0),0)</f>
        <v>0</v>
      </c>
      <c r="I160" s="20">
        <f t="shared" si="1"/>
        <v>0</v>
      </c>
      <c r="J160" s="26">
        <f t="shared" si="2"/>
        <v>0</v>
      </c>
      <c r="K160" s="30">
        <f t="shared" si="3"/>
        <v>0</v>
      </c>
      <c r="L160" s="17"/>
      <c r="M160" s="20">
        <f t="shared" si="4"/>
        <v>0</v>
      </c>
      <c r="N160" s="17"/>
      <c r="AO160" s="17"/>
      <c r="AP160" s="33"/>
    </row>
    <row r="161" spans="1:42">
      <c r="A161" s="17"/>
      <c r="B161" s="16"/>
      <c r="C161" s="17"/>
      <c r="D161" s="17"/>
      <c r="E161" s="17"/>
      <c r="F161" s="25"/>
      <c r="G161" s="26">
        <f t="shared" si="0"/>
        <v>0</v>
      </c>
      <c r="H161" s="20">
        <f>IFERROR(VLOOKUP(D161,PRODUCTOS!$B:$O,14,0),0)</f>
        <v>0</v>
      </c>
      <c r="I161" s="20">
        <f t="shared" si="1"/>
        <v>0</v>
      </c>
      <c r="J161" s="26">
        <f t="shared" si="2"/>
        <v>0</v>
      </c>
      <c r="K161" s="30">
        <f t="shared" si="3"/>
        <v>0</v>
      </c>
      <c r="L161" s="17"/>
      <c r="M161" s="20">
        <f t="shared" si="4"/>
        <v>0</v>
      </c>
      <c r="N161" s="17"/>
      <c r="AO161" s="17"/>
      <c r="AP161" s="33"/>
    </row>
    <row r="162" spans="1:42">
      <c r="A162" s="17"/>
      <c r="B162" s="16"/>
      <c r="C162" s="17"/>
      <c r="D162" s="17"/>
      <c r="E162" s="17"/>
      <c r="F162" s="25"/>
      <c r="G162" s="26">
        <f t="shared" si="0"/>
        <v>0</v>
      </c>
      <c r="H162" s="20">
        <f>IFERROR(VLOOKUP(D162,PRODUCTOS!$B:$O,14,0),0)</f>
        <v>0</v>
      </c>
      <c r="I162" s="20">
        <f t="shared" si="1"/>
        <v>0</v>
      </c>
      <c r="J162" s="26">
        <f t="shared" si="2"/>
        <v>0</v>
      </c>
      <c r="K162" s="30">
        <f t="shared" si="3"/>
        <v>0</v>
      </c>
      <c r="L162" s="17"/>
      <c r="M162" s="20">
        <f t="shared" si="4"/>
        <v>0</v>
      </c>
      <c r="N162" s="17"/>
      <c r="AO162" s="17"/>
      <c r="AP162" s="33"/>
    </row>
    <row r="163" spans="1:42">
      <c r="A163" s="17"/>
      <c r="B163" s="16"/>
      <c r="C163" s="17"/>
      <c r="D163" s="17"/>
      <c r="E163" s="17"/>
      <c r="F163" s="25"/>
      <c r="G163" s="26">
        <f t="shared" si="0"/>
        <v>0</v>
      </c>
      <c r="H163" s="20">
        <f>IFERROR(VLOOKUP(D163,PRODUCTOS!$B:$O,14,0),0)</f>
        <v>0</v>
      </c>
      <c r="I163" s="20">
        <f t="shared" si="1"/>
        <v>0</v>
      </c>
      <c r="J163" s="26">
        <f t="shared" si="2"/>
        <v>0</v>
      </c>
      <c r="K163" s="30">
        <f t="shared" si="3"/>
        <v>0</v>
      </c>
      <c r="L163" s="17"/>
      <c r="M163" s="20">
        <f t="shared" si="4"/>
        <v>0</v>
      </c>
      <c r="N163" s="17"/>
      <c r="AO163" s="17"/>
      <c r="AP163" s="33"/>
    </row>
    <row r="164" spans="1:42">
      <c r="A164" s="17"/>
      <c r="B164" s="16"/>
      <c r="C164" s="17"/>
      <c r="D164" s="17"/>
      <c r="E164" s="17"/>
      <c r="F164" s="25"/>
      <c r="G164" s="26">
        <f t="shared" si="0"/>
        <v>0</v>
      </c>
      <c r="H164" s="20">
        <f>IFERROR(VLOOKUP(D164,PRODUCTOS!$B:$O,14,0),0)</f>
        <v>0</v>
      </c>
      <c r="I164" s="20">
        <f t="shared" si="1"/>
        <v>0</v>
      </c>
      <c r="J164" s="26">
        <f t="shared" si="2"/>
        <v>0</v>
      </c>
      <c r="K164" s="30">
        <f t="shared" si="3"/>
        <v>0</v>
      </c>
      <c r="L164" s="17"/>
      <c r="M164" s="20">
        <f t="shared" si="4"/>
        <v>0</v>
      </c>
      <c r="N164" s="17"/>
      <c r="AO164" s="17"/>
      <c r="AP164" s="33"/>
    </row>
    <row r="165" spans="1:42">
      <c r="A165" s="17"/>
      <c r="B165" s="16"/>
      <c r="C165" s="17"/>
      <c r="D165" s="17"/>
      <c r="E165" s="17"/>
      <c r="F165" s="25"/>
      <c r="G165" s="26">
        <f t="shared" si="0"/>
        <v>0</v>
      </c>
      <c r="H165" s="20">
        <f>IFERROR(VLOOKUP(D165,PRODUCTOS!$B:$O,14,0),0)</f>
        <v>0</v>
      </c>
      <c r="I165" s="20">
        <f t="shared" si="1"/>
        <v>0</v>
      </c>
      <c r="J165" s="26">
        <f t="shared" si="2"/>
        <v>0</v>
      </c>
      <c r="K165" s="30">
        <f t="shared" si="3"/>
        <v>0</v>
      </c>
      <c r="L165" s="17"/>
      <c r="M165" s="20">
        <f t="shared" si="4"/>
        <v>0</v>
      </c>
      <c r="N165" s="17"/>
      <c r="AO165" s="17"/>
      <c r="AP165" s="33"/>
    </row>
    <row r="166" spans="1:42">
      <c r="A166" s="17"/>
      <c r="B166" s="16"/>
      <c r="C166" s="17"/>
      <c r="D166" s="17"/>
      <c r="E166" s="17"/>
      <c r="F166" s="25"/>
      <c r="G166" s="26">
        <f t="shared" si="0"/>
        <v>0</v>
      </c>
      <c r="H166" s="20">
        <f>IFERROR(VLOOKUP(D166,PRODUCTOS!$B:$O,14,0),0)</f>
        <v>0</v>
      </c>
      <c r="I166" s="20">
        <f t="shared" si="1"/>
        <v>0</v>
      </c>
      <c r="J166" s="26">
        <f t="shared" si="2"/>
        <v>0</v>
      </c>
      <c r="K166" s="30">
        <f t="shared" si="3"/>
        <v>0</v>
      </c>
      <c r="L166" s="17"/>
      <c r="M166" s="20">
        <f t="shared" si="4"/>
        <v>0</v>
      </c>
      <c r="N166" s="17"/>
      <c r="AO166" s="17"/>
      <c r="AP166" s="33"/>
    </row>
    <row r="167" spans="1:42">
      <c r="A167" s="17"/>
      <c r="B167" s="16"/>
      <c r="C167" s="17"/>
      <c r="D167" s="17"/>
      <c r="E167" s="17"/>
      <c r="F167" s="25"/>
      <c r="G167" s="26">
        <f t="shared" si="0"/>
        <v>0</v>
      </c>
      <c r="H167" s="20">
        <f>IFERROR(VLOOKUP(D167,PRODUCTOS!$B:$O,14,0),0)</f>
        <v>0</v>
      </c>
      <c r="I167" s="20">
        <f t="shared" si="1"/>
        <v>0</v>
      </c>
      <c r="J167" s="26">
        <f t="shared" si="2"/>
        <v>0</v>
      </c>
      <c r="K167" s="30">
        <f t="shared" si="3"/>
        <v>0</v>
      </c>
      <c r="L167" s="17"/>
      <c r="M167" s="20">
        <f t="shared" si="4"/>
        <v>0</v>
      </c>
      <c r="N167" s="17"/>
      <c r="AO167" s="17"/>
      <c r="AP167" s="33"/>
    </row>
    <row r="168" spans="1:42">
      <c r="A168" s="17"/>
      <c r="B168" s="16"/>
      <c r="C168" s="17"/>
      <c r="D168" s="17"/>
      <c r="E168" s="17"/>
      <c r="F168" s="25"/>
      <c r="G168" s="26">
        <f t="shared" si="0"/>
        <v>0</v>
      </c>
      <c r="H168" s="20">
        <f>IFERROR(VLOOKUP(D168,PRODUCTOS!$B:$O,14,0),0)</f>
        <v>0</v>
      </c>
      <c r="I168" s="20">
        <f t="shared" si="1"/>
        <v>0</v>
      </c>
      <c r="J168" s="26">
        <f t="shared" si="2"/>
        <v>0</v>
      </c>
      <c r="K168" s="30">
        <f t="shared" si="3"/>
        <v>0</v>
      </c>
      <c r="L168" s="17"/>
      <c r="M168" s="20">
        <f t="shared" si="4"/>
        <v>0</v>
      </c>
      <c r="N168" s="17"/>
      <c r="AO168" s="17"/>
      <c r="AP168" s="33"/>
    </row>
    <row r="169" spans="1:42">
      <c r="A169" s="17"/>
      <c r="B169" s="16"/>
      <c r="C169" s="17"/>
      <c r="D169" s="17"/>
      <c r="E169" s="17"/>
      <c r="F169" s="25"/>
      <c r="G169" s="26">
        <f t="shared" si="0"/>
        <v>0</v>
      </c>
      <c r="H169" s="20">
        <f>IFERROR(VLOOKUP(D169,PRODUCTOS!$B:$O,14,0),0)</f>
        <v>0</v>
      </c>
      <c r="I169" s="20">
        <f t="shared" si="1"/>
        <v>0</v>
      </c>
      <c r="J169" s="26">
        <f t="shared" si="2"/>
        <v>0</v>
      </c>
      <c r="K169" s="30">
        <f t="shared" si="3"/>
        <v>0</v>
      </c>
      <c r="L169" s="17"/>
      <c r="M169" s="20">
        <f t="shared" si="4"/>
        <v>0</v>
      </c>
      <c r="N169" s="17"/>
      <c r="AO169" s="17"/>
      <c r="AP169" s="33"/>
    </row>
    <row r="170" spans="1:42">
      <c r="A170" s="17"/>
      <c r="B170" s="16"/>
      <c r="C170" s="17"/>
      <c r="D170" s="17"/>
      <c r="E170" s="17"/>
      <c r="F170" s="25"/>
      <c r="G170" s="26">
        <f t="shared" ref="G170:G233" si="5">IFERROR(E170*F170,0)</f>
        <v>0</v>
      </c>
      <c r="H170" s="20">
        <f>IFERROR(VLOOKUP(D170,PRODUCTOS!$B:$O,14,0),0)</f>
        <v>0</v>
      </c>
      <c r="I170" s="20">
        <f t="shared" ref="I170:I233" si="6">IFERROR(E170*H170,0)</f>
        <v>0</v>
      </c>
      <c r="J170" s="26">
        <f t="shared" ref="J170:J233" si="7">IFERROR(G170-I170,0)</f>
        <v>0</v>
      </c>
      <c r="K170" s="30">
        <f t="shared" ref="K170:K233" si="8">IF(G170&gt;0,J170/G170,0)</f>
        <v>0</v>
      </c>
      <c r="L170" s="17"/>
      <c r="M170" s="20">
        <f t="shared" ref="M170:M233" si="9">IF(L170&gt;0,J170/(L170/60),0)</f>
        <v>0</v>
      </c>
      <c r="N170" s="17"/>
      <c r="AO170" s="17"/>
      <c r="AP170" s="33"/>
    </row>
    <row r="171" spans="1:42">
      <c r="A171" s="17"/>
      <c r="B171" s="16"/>
      <c r="C171" s="17"/>
      <c r="D171" s="17"/>
      <c r="E171" s="17"/>
      <c r="F171" s="25"/>
      <c r="G171" s="26">
        <f t="shared" si="5"/>
        <v>0</v>
      </c>
      <c r="H171" s="20">
        <f>IFERROR(VLOOKUP(D171,PRODUCTOS!$B:$O,14,0),0)</f>
        <v>0</v>
      </c>
      <c r="I171" s="20">
        <f t="shared" si="6"/>
        <v>0</v>
      </c>
      <c r="J171" s="26">
        <f t="shared" si="7"/>
        <v>0</v>
      </c>
      <c r="K171" s="30">
        <f t="shared" si="8"/>
        <v>0</v>
      </c>
      <c r="L171" s="17"/>
      <c r="M171" s="20">
        <f t="shared" si="9"/>
        <v>0</v>
      </c>
      <c r="N171" s="17"/>
      <c r="AO171" s="17"/>
      <c r="AP171" s="33"/>
    </row>
    <row r="172" spans="1:42">
      <c r="A172" s="17"/>
      <c r="B172" s="16"/>
      <c r="C172" s="17"/>
      <c r="D172" s="17"/>
      <c r="E172" s="17"/>
      <c r="F172" s="25"/>
      <c r="G172" s="26">
        <f t="shared" si="5"/>
        <v>0</v>
      </c>
      <c r="H172" s="20">
        <f>IFERROR(VLOOKUP(D172,PRODUCTOS!$B:$O,14,0),0)</f>
        <v>0</v>
      </c>
      <c r="I172" s="20">
        <f t="shared" si="6"/>
        <v>0</v>
      </c>
      <c r="J172" s="26">
        <f t="shared" si="7"/>
        <v>0</v>
      </c>
      <c r="K172" s="30">
        <f t="shared" si="8"/>
        <v>0</v>
      </c>
      <c r="L172" s="17"/>
      <c r="M172" s="20">
        <f t="shared" si="9"/>
        <v>0</v>
      </c>
      <c r="N172" s="17"/>
      <c r="AO172" s="17"/>
      <c r="AP172" s="33"/>
    </row>
    <row r="173" spans="1:42">
      <c r="A173" s="17"/>
      <c r="B173" s="16"/>
      <c r="C173" s="17"/>
      <c r="D173" s="17"/>
      <c r="E173" s="17"/>
      <c r="F173" s="25"/>
      <c r="G173" s="26">
        <f t="shared" si="5"/>
        <v>0</v>
      </c>
      <c r="H173" s="20">
        <f>IFERROR(VLOOKUP(D173,PRODUCTOS!$B:$O,14,0),0)</f>
        <v>0</v>
      </c>
      <c r="I173" s="20">
        <f t="shared" si="6"/>
        <v>0</v>
      </c>
      <c r="J173" s="26">
        <f t="shared" si="7"/>
        <v>0</v>
      </c>
      <c r="K173" s="30">
        <f t="shared" si="8"/>
        <v>0</v>
      </c>
      <c r="L173" s="17"/>
      <c r="M173" s="20">
        <f t="shared" si="9"/>
        <v>0</v>
      </c>
      <c r="N173" s="17"/>
      <c r="AO173" s="17"/>
      <c r="AP173" s="33"/>
    </row>
    <row r="174" spans="1:42">
      <c r="A174" s="17"/>
      <c r="B174" s="16"/>
      <c r="C174" s="17"/>
      <c r="D174" s="17"/>
      <c r="E174" s="17"/>
      <c r="F174" s="25"/>
      <c r="G174" s="26">
        <f t="shared" si="5"/>
        <v>0</v>
      </c>
      <c r="H174" s="20">
        <f>IFERROR(VLOOKUP(D174,PRODUCTOS!$B:$O,14,0),0)</f>
        <v>0</v>
      </c>
      <c r="I174" s="20">
        <f t="shared" si="6"/>
        <v>0</v>
      </c>
      <c r="J174" s="26">
        <f t="shared" si="7"/>
        <v>0</v>
      </c>
      <c r="K174" s="30">
        <f t="shared" si="8"/>
        <v>0</v>
      </c>
      <c r="L174" s="17"/>
      <c r="M174" s="20">
        <f t="shared" si="9"/>
        <v>0</v>
      </c>
      <c r="N174" s="17"/>
      <c r="AO174" s="17"/>
      <c r="AP174" s="33"/>
    </row>
    <row r="175" spans="1:42">
      <c r="A175" s="17"/>
      <c r="B175" s="16"/>
      <c r="C175" s="17"/>
      <c r="D175" s="17"/>
      <c r="E175" s="17"/>
      <c r="F175" s="25"/>
      <c r="G175" s="26">
        <f t="shared" si="5"/>
        <v>0</v>
      </c>
      <c r="H175" s="20">
        <f>IFERROR(VLOOKUP(D175,PRODUCTOS!$B:$O,14,0),0)</f>
        <v>0</v>
      </c>
      <c r="I175" s="20">
        <f t="shared" si="6"/>
        <v>0</v>
      </c>
      <c r="J175" s="26">
        <f t="shared" si="7"/>
        <v>0</v>
      </c>
      <c r="K175" s="30">
        <f t="shared" si="8"/>
        <v>0</v>
      </c>
      <c r="L175" s="17"/>
      <c r="M175" s="20">
        <f t="shared" si="9"/>
        <v>0</v>
      </c>
      <c r="N175" s="17"/>
      <c r="AO175" s="17"/>
      <c r="AP175" s="33"/>
    </row>
    <row r="176" spans="1:42">
      <c r="A176" s="17"/>
      <c r="B176" s="16"/>
      <c r="C176" s="17"/>
      <c r="D176" s="17"/>
      <c r="E176" s="17"/>
      <c r="F176" s="25"/>
      <c r="G176" s="26">
        <f t="shared" si="5"/>
        <v>0</v>
      </c>
      <c r="H176" s="20">
        <f>IFERROR(VLOOKUP(D176,PRODUCTOS!$B:$O,14,0),0)</f>
        <v>0</v>
      </c>
      <c r="I176" s="20">
        <f t="shared" si="6"/>
        <v>0</v>
      </c>
      <c r="J176" s="26">
        <f t="shared" si="7"/>
        <v>0</v>
      </c>
      <c r="K176" s="30">
        <f t="shared" si="8"/>
        <v>0</v>
      </c>
      <c r="L176" s="17"/>
      <c r="M176" s="20">
        <f t="shared" si="9"/>
        <v>0</v>
      </c>
      <c r="N176" s="17"/>
      <c r="AO176" s="17"/>
      <c r="AP176" s="33"/>
    </row>
    <row r="177" spans="1:42">
      <c r="A177" s="17"/>
      <c r="B177" s="16"/>
      <c r="C177" s="17"/>
      <c r="D177" s="17"/>
      <c r="E177" s="17"/>
      <c r="F177" s="25"/>
      <c r="G177" s="26">
        <f t="shared" si="5"/>
        <v>0</v>
      </c>
      <c r="H177" s="20">
        <f>IFERROR(VLOOKUP(D177,PRODUCTOS!$B:$O,14,0),0)</f>
        <v>0</v>
      </c>
      <c r="I177" s="20">
        <f t="shared" si="6"/>
        <v>0</v>
      </c>
      <c r="J177" s="26">
        <f t="shared" si="7"/>
        <v>0</v>
      </c>
      <c r="K177" s="30">
        <f t="shared" si="8"/>
        <v>0</v>
      </c>
      <c r="L177" s="17"/>
      <c r="M177" s="20">
        <f t="shared" si="9"/>
        <v>0</v>
      </c>
      <c r="N177" s="17"/>
      <c r="AO177" s="17"/>
      <c r="AP177" s="33"/>
    </row>
    <row r="178" spans="1:42">
      <c r="A178" s="17"/>
      <c r="B178" s="16"/>
      <c r="C178" s="17"/>
      <c r="D178" s="17"/>
      <c r="E178" s="17"/>
      <c r="F178" s="25"/>
      <c r="G178" s="26">
        <f t="shared" si="5"/>
        <v>0</v>
      </c>
      <c r="H178" s="20">
        <f>IFERROR(VLOOKUP(D178,PRODUCTOS!$B:$O,14,0),0)</f>
        <v>0</v>
      </c>
      <c r="I178" s="20">
        <f t="shared" si="6"/>
        <v>0</v>
      </c>
      <c r="J178" s="26">
        <f t="shared" si="7"/>
        <v>0</v>
      </c>
      <c r="K178" s="30">
        <f t="shared" si="8"/>
        <v>0</v>
      </c>
      <c r="L178" s="17"/>
      <c r="M178" s="20">
        <f t="shared" si="9"/>
        <v>0</v>
      </c>
      <c r="N178" s="17"/>
      <c r="AO178" s="17"/>
      <c r="AP178" s="33"/>
    </row>
    <row r="179" spans="1:42">
      <c r="A179" s="17"/>
      <c r="B179" s="16"/>
      <c r="C179" s="17"/>
      <c r="D179" s="17"/>
      <c r="E179" s="17"/>
      <c r="F179" s="25"/>
      <c r="G179" s="26">
        <f t="shared" si="5"/>
        <v>0</v>
      </c>
      <c r="H179" s="20">
        <f>IFERROR(VLOOKUP(D179,PRODUCTOS!$B:$O,14,0),0)</f>
        <v>0</v>
      </c>
      <c r="I179" s="20">
        <f t="shared" si="6"/>
        <v>0</v>
      </c>
      <c r="J179" s="26">
        <f t="shared" si="7"/>
        <v>0</v>
      </c>
      <c r="K179" s="30">
        <f t="shared" si="8"/>
        <v>0</v>
      </c>
      <c r="L179" s="17"/>
      <c r="M179" s="20">
        <f t="shared" si="9"/>
        <v>0</v>
      </c>
      <c r="N179" s="17"/>
      <c r="AO179" s="17"/>
      <c r="AP179" s="33"/>
    </row>
    <row r="180" spans="1:42">
      <c r="A180" s="17"/>
      <c r="B180" s="16"/>
      <c r="C180" s="17"/>
      <c r="D180" s="17"/>
      <c r="E180" s="17"/>
      <c r="F180" s="25"/>
      <c r="G180" s="26">
        <f t="shared" si="5"/>
        <v>0</v>
      </c>
      <c r="H180" s="20">
        <f>IFERROR(VLOOKUP(D180,PRODUCTOS!$B:$O,14,0),0)</f>
        <v>0</v>
      </c>
      <c r="I180" s="20">
        <f t="shared" si="6"/>
        <v>0</v>
      </c>
      <c r="J180" s="26">
        <f t="shared" si="7"/>
        <v>0</v>
      </c>
      <c r="K180" s="30">
        <f t="shared" si="8"/>
        <v>0</v>
      </c>
      <c r="L180" s="17"/>
      <c r="M180" s="20">
        <f t="shared" si="9"/>
        <v>0</v>
      </c>
      <c r="N180" s="17"/>
      <c r="AO180" s="17"/>
      <c r="AP180" s="33"/>
    </row>
    <row r="181" spans="1:42">
      <c r="A181" s="17"/>
      <c r="B181" s="16"/>
      <c r="C181" s="17"/>
      <c r="D181" s="17"/>
      <c r="E181" s="17"/>
      <c r="F181" s="25"/>
      <c r="G181" s="26">
        <f t="shared" si="5"/>
        <v>0</v>
      </c>
      <c r="H181" s="20">
        <f>IFERROR(VLOOKUP(D181,PRODUCTOS!$B:$O,14,0),0)</f>
        <v>0</v>
      </c>
      <c r="I181" s="20">
        <f t="shared" si="6"/>
        <v>0</v>
      </c>
      <c r="J181" s="26">
        <f t="shared" si="7"/>
        <v>0</v>
      </c>
      <c r="K181" s="30">
        <f t="shared" si="8"/>
        <v>0</v>
      </c>
      <c r="L181" s="17"/>
      <c r="M181" s="20">
        <f t="shared" si="9"/>
        <v>0</v>
      </c>
      <c r="N181" s="17"/>
      <c r="AO181" s="17"/>
      <c r="AP181" s="33"/>
    </row>
    <row r="182" spans="1:42">
      <c r="A182" s="17"/>
      <c r="B182" s="16"/>
      <c r="C182" s="17"/>
      <c r="D182" s="17"/>
      <c r="E182" s="17"/>
      <c r="F182" s="25"/>
      <c r="G182" s="26">
        <f t="shared" si="5"/>
        <v>0</v>
      </c>
      <c r="H182" s="20">
        <f>IFERROR(VLOOKUP(D182,PRODUCTOS!$B:$O,14,0),0)</f>
        <v>0</v>
      </c>
      <c r="I182" s="20">
        <f t="shared" si="6"/>
        <v>0</v>
      </c>
      <c r="J182" s="26">
        <f t="shared" si="7"/>
        <v>0</v>
      </c>
      <c r="K182" s="30">
        <f t="shared" si="8"/>
        <v>0</v>
      </c>
      <c r="L182" s="17"/>
      <c r="M182" s="20">
        <f t="shared" si="9"/>
        <v>0</v>
      </c>
      <c r="N182" s="17"/>
      <c r="AO182" s="17"/>
      <c r="AP182" s="33"/>
    </row>
    <row r="183" spans="1:42">
      <c r="A183" s="17"/>
      <c r="B183" s="16"/>
      <c r="C183" s="17"/>
      <c r="D183" s="17"/>
      <c r="E183" s="17"/>
      <c r="F183" s="25"/>
      <c r="G183" s="26">
        <f t="shared" si="5"/>
        <v>0</v>
      </c>
      <c r="H183" s="20">
        <f>IFERROR(VLOOKUP(D183,PRODUCTOS!$B:$O,14,0),0)</f>
        <v>0</v>
      </c>
      <c r="I183" s="20">
        <f t="shared" si="6"/>
        <v>0</v>
      </c>
      <c r="J183" s="26">
        <f t="shared" si="7"/>
        <v>0</v>
      </c>
      <c r="K183" s="30">
        <f t="shared" si="8"/>
        <v>0</v>
      </c>
      <c r="L183" s="17"/>
      <c r="M183" s="20">
        <f t="shared" si="9"/>
        <v>0</v>
      </c>
      <c r="N183" s="17"/>
      <c r="AO183" s="17"/>
      <c r="AP183" s="33"/>
    </row>
    <row r="184" spans="1:42">
      <c r="A184" s="17"/>
      <c r="B184" s="16"/>
      <c r="C184" s="17"/>
      <c r="D184" s="17"/>
      <c r="E184" s="17"/>
      <c r="F184" s="25"/>
      <c r="G184" s="26">
        <f t="shared" si="5"/>
        <v>0</v>
      </c>
      <c r="H184" s="20">
        <f>IFERROR(VLOOKUP(D184,PRODUCTOS!$B:$O,14,0),0)</f>
        <v>0</v>
      </c>
      <c r="I184" s="20">
        <f t="shared" si="6"/>
        <v>0</v>
      </c>
      <c r="J184" s="26">
        <f t="shared" si="7"/>
        <v>0</v>
      </c>
      <c r="K184" s="30">
        <f t="shared" si="8"/>
        <v>0</v>
      </c>
      <c r="L184" s="17"/>
      <c r="M184" s="20">
        <f t="shared" si="9"/>
        <v>0</v>
      </c>
      <c r="N184" s="17"/>
      <c r="AO184" s="17"/>
      <c r="AP184" s="33"/>
    </row>
    <row r="185" spans="1:42">
      <c r="A185" s="17"/>
      <c r="B185" s="16"/>
      <c r="C185" s="17"/>
      <c r="D185" s="17"/>
      <c r="E185" s="17"/>
      <c r="F185" s="25"/>
      <c r="G185" s="26">
        <f t="shared" si="5"/>
        <v>0</v>
      </c>
      <c r="H185" s="20">
        <f>IFERROR(VLOOKUP(D185,PRODUCTOS!$B:$O,14,0),0)</f>
        <v>0</v>
      </c>
      <c r="I185" s="20">
        <f t="shared" si="6"/>
        <v>0</v>
      </c>
      <c r="J185" s="26">
        <f t="shared" si="7"/>
        <v>0</v>
      </c>
      <c r="K185" s="30">
        <f t="shared" si="8"/>
        <v>0</v>
      </c>
      <c r="L185" s="17"/>
      <c r="M185" s="20">
        <f t="shared" si="9"/>
        <v>0</v>
      </c>
      <c r="N185" s="17"/>
      <c r="AO185" s="17"/>
      <c r="AP185" s="33"/>
    </row>
    <row r="186" spans="1:42">
      <c r="A186" s="17"/>
      <c r="B186" s="16"/>
      <c r="C186" s="17"/>
      <c r="D186" s="17"/>
      <c r="E186" s="17"/>
      <c r="F186" s="25"/>
      <c r="G186" s="26">
        <f t="shared" si="5"/>
        <v>0</v>
      </c>
      <c r="H186" s="20">
        <f>IFERROR(VLOOKUP(D186,PRODUCTOS!$B:$O,14,0),0)</f>
        <v>0</v>
      </c>
      <c r="I186" s="20">
        <f t="shared" si="6"/>
        <v>0</v>
      </c>
      <c r="J186" s="26">
        <f t="shared" si="7"/>
        <v>0</v>
      </c>
      <c r="K186" s="30">
        <f t="shared" si="8"/>
        <v>0</v>
      </c>
      <c r="L186" s="17"/>
      <c r="M186" s="20">
        <f t="shared" si="9"/>
        <v>0</v>
      </c>
      <c r="N186" s="17"/>
      <c r="AO186" s="17"/>
      <c r="AP186" s="33"/>
    </row>
    <row r="187" spans="1:42">
      <c r="A187" s="17"/>
      <c r="B187" s="16"/>
      <c r="C187" s="17"/>
      <c r="D187" s="17"/>
      <c r="E187" s="17"/>
      <c r="F187" s="25"/>
      <c r="G187" s="26">
        <f t="shared" si="5"/>
        <v>0</v>
      </c>
      <c r="H187" s="20">
        <f>IFERROR(VLOOKUP(D187,PRODUCTOS!$B:$O,14,0),0)</f>
        <v>0</v>
      </c>
      <c r="I187" s="20">
        <f t="shared" si="6"/>
        <v>0</v>
      </c>
      <c r="J187" s="26">
        <f t="shared" si="7"/>
        <v>0</v>
      </c>
      <c r="K187" s="30">
        <f t="shared" si="8"/>
        <v>0</v>
      </c>
      <c r="L187" s="17"/>
      <c r="M187" s="20">
        <f t="shared" si="9"/>
        <v>0</v>
      </c>
      <c r="N187" s="17"/>
      <c r="AO187" s="17"/>
      <c r="AP187" s="33"/>
    </row>
    <row r="188" spans="1:42">
      <c r="A188" s="17"/>
      <c r="B188" s="16"/>
      <c r="C188" s="17"/>
      <c r="D188" s="17"/>
      <c r="E188" s="17"/>
      <c r="F188" s="25"/>
      <c r="G188" s="26">
        <f t="shared" si="5"/>
        <v>0</v>
      </c>
      <c r="H188" s="20">
        <f>IFERROR(VLOOKUP(D188,PRODUCTOS!$B:$O,14,0),0)</f>
        <v>0</v>
      </c>
      <c r="I188" s="20">
        <f t="shared" si="6"/>
        <v>0</v>
      </c>
      <c r="J188" s="26">
        <f t="shared" si="7"/>
        <v>0</v>
      </c>
      <c r="K188" s="30">
        <f t="shared" si="8"/>
        <v>0</v>
      </c>
      <c r="L188" s="17"/>
      <c r="M188" s="20">
        <f t="shared" si="9"/>
        <v>0</v>
      </c>
      <c r="N188" s="17"/>
      <c r="AO188" s="17"/>
      <c r="AP188" s="33"/>
    </row>
    <row r="189" spans="1:42">
      <c r="A189" s="17"/>
      <c r="B189" s="16"/>
      <c r="C189" s="17"/>
      <c r="D189" s="17"/>
      <c r="E189" s="17"/>
      <c r="F189" s="25"/>
      <c r="G189" s="26">
        <f t="shared" si="5"/>
        <v>0</v>
      </c>
      <c r="H189" s="20">
        <f>IFERROR(VLOOKUP(D189,PRODUCTOS!$B:$O,14,0),0)</f>
        <v>0</v>
      </c>
      <c r="I189" s="20">
        <f t="shared" si="6"/>
        <v>0</v>
      </c>
      <c r="J189" s="26">
        <f t="shared" si="7"/>
        <v>0</v>
      </c>
      <c r="K189" s="30">
        <f t="shared" si="8"/>
        <v>0</v>
      </c>
      <c r="L189" s="17"/>
      <c r="M189" s="20">
        <f t="shared" si="9"/>
        <v>0</v>
      </c>
      <c r="N189" s="17"/>
      <c r="AO189" s="17"/>
      <c r="AP189" s="33"/>
    </row>
    <row r="190" spans="1:42">
      <c r="A190" s="17"/>
      <c r="B190" s="16"/>
      <c r="C190" s="17"/>
      <c r="D190" s="17"/>
      <c r="E190" s="17"/>
      <c r="F190" s="25"/>
      <c r="G190" s="26">
        <f t="shared" si="5"/>
        <v>0</v>
      </c>
      <c r="H190" s="20">
        <f>IFERROR(VLOOKUP(D190,PRODUCTOS!$B:$O,14,0),0)</f>
        <v>0</v>
      </c>
      <c r="I190" s="20">
        <f t="shared" si="6"/>
        <v>0</v>
      </c>
      <c r="J190" s="26">
        <f t="shared" si="7"/>
        <v>0</v>
      </c>
      <c r="K190" s="30">
        <f t="shared" si="8"/>
        <v>0</v>
      </c>
      <c r="L190" s="17"/>
      <c r="M190" s="20">
        <f t="shared" si="9"/>
        <v>0</v>
      </c>
      <c r="N190" s="17"/>
      <c r="AO190" s="17"/>
      <c r="AP190" s="33"/>
    </row>
    <row r="191" spans="1:42">
      <c r="A191" s="17"/>
      <c r="B191" s="16"/>
      <c r="C191" s="17"/>
      <c r="D191" s="17"/>
      <c r="E191" s="17"/>
      <c r="F191" s="25"/>
      <c r="G191" s="26">
        <f t="shared" si="5"/>
        <v>0</v>
      </c>
      <c r="H191" s="20">
        <f>IFERROR(VLOOKUP(D191,PRODUCTOS!$B:$O,14,0),0)</f>
        <v>0</v>
      </c>
      <c r="I191" s="20">
        <f t="shared" si="6"/>
        <v>0</v>
      </c>
      <c r="J191" s="26">
        <f t="shared" si="7"/>
        <v>0</v>
      </c>
      <c r="K191" s="30">
        <f t="shared" si="8"/>
        <v>0</v>
      </c>
      <c r="L191" s="17"/>
      <c r="M191" s="20">
        <f t="shared" si="9"/>
        <v>0</v>
      </c>
      <c r="N191" s="17"/>
      <c r="AO191" s="17"/>
      <c r="AP191" s="33"/>
    </row>
    <row r="192" spans="1:42">
      <c r="A192" s="17"/>
      <c r="B192" s="16"/>
      <c r="C192" s="17"/>
      <c r="D192" s="17"/>
      <c r="E192" s="17"/>
      <c r="F192" s="25"/>
      <c r="G192" s="26">
        <f t="shared" si="5"/>
        <v>0</v>
      </c>
      <c r="H192" s="20">
        <f>IFERROR(VLOOKUP(D192,PRODUCTOS!$B:$O,14,0),0)</f>
        <v>0</v>
      </c>
      <c r="I192" s="20">
        <f t="shared" si="6"/>
        <v>0</v>
      </c>
      <c r="J192" s="26">
        <f t="shared" si="7"/>
        <v>0</v>
      </c>
      <c r="K192" s="30">
        <f t="shared" si="8"/>
        <v>0</v>
      </c>
      <c r="L192" s="17"/>
      <c r="M192" s="20">
        <f t="shared" si="9"/>
        <v>0</v>
      </c>
      <c r="N192" s="17"/>
      <c r="AO192" s="17"/>
      <c r="AP192" s="33"/>
    </row>
    <row r="193" spans="1:42">
      <c r="A193" s="17"/>
      <c r="B193" s="16"/>
      <c r="C193" s="17"/>
      <c r="D193" s="17"/>
      <c r="E193" s="17"/>
      <c r="F193" s="25"/>
      <c r="G193" s="26">
        <f t="shared" si="5"/>
        <v>0</v>
      </c>
      <c r="H193" s="20">
        <f>IFERROR(VLOOKUP(D193,PRODUCTOS!$B:$O,14,0),0)</f>
        <v>0</v>
      </c>
      <c r="I193" s="20">
        <f t="shared" si="6"/>
        <v>0</v>
      </c>
      <c r="J193" s="26">
        <f t="shared" si="7"/>
        <v>0</v>
      </c>
      <c r="K193" s="30">
        <f t="shared" si="8"/>
        <v>0</v>
      </c>
      <c r="L193" s="17"/>
      <c r="M193" s="20">
        <f t="shared" si="9"/>
        <v>0</v>
      </c>
      <c r="N193" s="17"/>
      <c r="AO193" s="17"/>
      <c r="AP193" s="33"/>
    </row>
    <row r="194" spans="1:42">
      <c r="A194" s="17"/>
      <c r="B194" s="16"/>
      <c r="C194" s="17"/>
      <c r="D194" s="17"/>
      <c r="E194" s="17"/>
      <c r="F194" s="25"/>
      <c r="G194" s="26">
        <f t="shared" si="5"/>
        <v>0</v>
      </c>
      <c r="H194" s="20">
        <f>IFERROR(VLOOKUP(D194,PRODUCTOS!$B:$O,14,0),0)</f>
        <v>0</v>
      </c>
      <c r="I194" s="20">
        <f t="shared" si="6"/>
        <v>0</v>
      </c>
      <c r="J194" s="26">
        <f t="shared" si="7"/>
        <v>0</v>
      </c>
      <c r="K194" s="30">
        <f t="shared" si="8"/>
        <v>0</v>
      </c>
      <c r="L194" s="17"/>
      <c r="M194" s="20">
        <f t="shared" si="9"/>
        <v>0</v>
      </c>
      <c r="N194" s="17"/>
      <c r="AO194" s="17"/>
      <c r="AP194" s="33"/>
    </row>
    <row r="195" spans="1:42">
      <c r="A195" s="17"/>
      <c r="B195" s="16"/>
      <c r="C195" s="17"/>
      <c r="D195" s="17"/>
      <c r="E195" s="17"/>
      <c r="F195" s="25"/>
      <c r="G195" s="26">
        <f t="shared" si="5"/>
        <v>0</v>
      </c>
      <c r="H195" s="20">
        <f>IFERROR(VLOOKUP(D195,PRODUCTOS!$B:$O,14,0),0)</f>
        <v>0</v>
      </c>
      <c r="I195" s="20">
        <f t="shared" si="6"/>
        <v>0</v>
      </c>
      <c r="J195" s="26">
        <f t="shared" si="7"/>
        <v>0</v>
      </c>
      <c r="K195" s="30">
        <f t="shared" si="8"/>
        <v>0</v>
      </c>
      <c r="L195" s="17"/>
      <c r="M195" s="20">
        <f t="shared" si="9"/>
        <v>0</v>
      </c>
      <c r="N195" s="17"/>
      <c r="AO195" s="17"/>
      <c r="AP195" s="33"/>
    </row>
    <row r="196" spans="1:42">
      <c r="A196" s="17"/>
      <c r="B196" s="16"/>
      <c r="C196" s="17"/>
      <c r="D196" s="17"/>
      <c r="E196" s="17"/>
      <c r="F196" s="25"/>
      <c r="G196" s="26">
        <f t="shared" si="5"/>
        <v>0</v>
      </c>
      <c r="H196" s="20">
        <f>IFERROR(VLOOKUP(D196,PRODUCTOS!$B:$O,14,0),0)</f>
        <v>0</v>
      </c>
      <c r="I196" s="20">
        <f t="shared" si="6"/>
        <v>0</v>
      </c>
      <c r="J196" s="26">
        <f t="shared" si="7"/>
        <v>0</v>
      </c>
      <c r="K196" s="30">
        <f t="shared" si="8"/>
        <v>0</v>
      </c>
      <c r="L196" s="17"/>
      <c r="M196" s="20">
        <f t="shared" si="9"/>
        <v>0</v>
      </c>
      <c r="N196" s="17"/>
      <c r="AO196" s="17"/>
      <c r="AP196" s="33"/>
    </row>
    <row r="197" spans="1:42">
      <c r="A197" s="17"/>
      <c r="B197" s="16"/>
      <c r="C197" s="17"/>
      <c r="D197" s="17"/>
      <c r="E197" s="17"/>
      <c r="F197" s="25"/>
      <c r="G197" s="26">
        <f t="shared" si="5"/>
        <v>0</v>
      </c>
      <c r="H197" s="20">
        <f>IFERROR(VLOOKUP(D197,PRODUCTOS!$B:$O,14,0),0)</f>
        <v>0</v>
      </c>
      <c r="I197" s="20">
        <f t="shared" si="6"/>
        <v>0</v>
      </c>
      <c r="J197" s="26">
        <f t="shared" si="7"/>
        <v>0</v>
      </c>
      <c r="K197" s="30">
        <f t="shared" si="8"/>
        <v>0</v>
      </c>
      <c r="L197" s="17"/>
      <c r="M197" s="20">
        <f t="shared" si="9"/>
        <v>0</v>
      </c>
      <c r="N197" s="17"/>
      <c r="AO197" s="17"/>
      <c r="AP197" s="33"/>
    </row>
    <row r="198" spans="1:42">
      <c r="A198" s="17"/>
      <c r="B198" s="16"/>
      <c r="C198" s="17"/>
      <c r="D198" s="17"/>
      <c r="E198" s="17"/>
      <c r="F198" s="25"/>
      <c r="G198" s="26">
        <f t="shared" si="5"/>
        <v>0</v>
      </c>
      <c r="H198" s="20">
        <f>IFERROR(VLOOKUP(D198,PRODUCTOS!$B:$O,14,0),0)</f>
        <v>0</v>
      </c>
      <c r="I198" s="20">
        <f t="shared" si="6"/>
        <v>0</v>
      </c>
      <c r="J198" s="26">
        <f t="shared" si="7"/>
        <v>0</v>
      </c>
      <c r="K198" s="30">
        <f t="shared" si="8"/>
        <v>0</v>
      </c>
      <c r="L198" s="17"/>
      <c r="M198" s="20">
        <f t="shared" si="9"/>
        <v>0</v>
      </c>
      <c r="N198" s="17"/>
      <c r="AO198" s="17"/>
      <c r="AP198" s="33"/>
    </row>
    <row r="199" spans="1:42">
      <c r="A199" s="17"/>
      <c r="B199" s="16"/>
      <c r="C199" s="17"/>
      <c r="D199" s="17"/>
      <c r="E199" s="17"/>
      <c r="F199" s="25"/>
      <c r="G199" s="26">
        <f t="shared" si="5"/>
        <v>0</v>
      </c>
      <c r="H199" s="20">
        <f>IFERROR(VLOOKUP(D199,PRODUCTOS!$B:$O,14,0),0)</f>
        <v>0</v>
      </c>
      <c r="I199" s="20">
        <f t="shared" si="6"/>
        <v>0</v>
      </c>
      <c r="J199" s="26">
        <f t="shared" si="7"/>
        <v>0</v>
      </c>
      <c r="K199" s="30">
        <f t="shared" si="8"/>
        <v>0</v>
      </c>
      <c r="L199" s="17"/>
      <c r="M199" s="20">
        <f t="shared" si="9"/>
        <v>0</v>
      </c>
      <c r="N199" s="17"/>
      <c r="AO199" s="17"/>
      <c r="AP199" s="33"/>
    </row>
    <row r="200" spans="1:42">
      <c r="A200" s="17"/>
      <c r="B200" s="16"/>
      <c r="C200" s="17"/>
      <c r="D200" s="17"/>
      <c r="E200" s="17"/>
      <c r="F200" s="25"/>
      <c r="G200" s="26">
        <f t="shared" si="5"/>
        <v>0</v>
      </c>
      <c r="H200" s="20">
        <f>IFERROR(VLOOKUP(D200,PRODUCTOS!$B:$O,14,0),0)</f>
        <v>0</v>
      </c>
      <c r="I200" s="20">
        <f t="shared" si="6"/>
        <v>0</v>
      </c>
      <c r="J200" s="26">
        <f t="shared" si="7"/>
        <v>0</v>
      </c>
      <c r="K200" s="30">
        <f t="shared" si="8"/>
        <v>0</v>
      </c>
      <c r="L200" s="17"/>
      <c r="M200" s="20">
        <f t="shared" si="9"/>
        <v>0</v>
      </c>
      <c r="N200" s="17"/>
      <c r="AO200" s="17"/>
      <c r="AP200" s="33"/>
    </row>
    <row r="201" spans="1:42">
      <c r="A201" s="17"/>
      <c r="B201" s="16"/>
      <c r="C201" s="17"/>
      <c r="D201" s="17"/>
      <c r="E201" s="17"/>
      <c r="F201" s="25"/>
      <c r="G201" s="26">
        <f t="shared" si="5"/>
        <v>0</v>
      </c>
      <c r="H201" s="20">
        <f>IFERROR(VLOOKUP(D201,PRODUCTOS!$B:$O,14,0),0)</f>
        <v>0</v>
      </c>
      <c r="I201" s="20">
        <f t="shared" si="6"/>
        <v>0</v>
      </c>
      <c r="J201" s="26">
        <f t="shared" si="7"/>
        <v>0</v>
      </c>
      <c r="K201" s="30">
        <f t="shared" si="8"/>
        <v>0</v>
      </c>
      <c r="L201" s="17"/>
      <c r="M201" s="20">
        <f t="shared" si="9"/>
        <v>0</v>
      </c>
      <c r="N201" s="17"/>
      <c r="AO201" s="17"/>
      <c r="AP201" s="33"/>
    </row>
    <row r="202" spans="1:42">
      <c r="A202" s="17"/>
      <c r="B202" s="16"/>
      <c r="C202" s="17"/>
      <c r="D202" s="17"/>
      <c r="E202" s="17"/>
      <c r="F202" s="25"/>
      <c r="G202" s="26">
        <f t="shared" si="5"/>
        <v>0</v>
      </c>
      <c r="H202" s="20">
        <f>IFERROR(VLOOKUP(D202,PRODUCTOS!$B:$O,14,0),0)</f>
        <v>0</v>
      </c>
      <c r="I202" s="20">
        <f t="shared" si="6"/>
        <v>0</v>
      </c>
      <c r="J202" s="26">
        <f t="shared" si="7"/>
        <v>0</v>
      </c>
      <c r="K202" s="30">
        <f t="shared" si="8"/>
        <v>0</v>
      </c>
      <c r="L202" s="17"/>
      <c r="M202" s="20">
        <f t="shared" si="9"/>
        <v>0</v>
      </c>
      <c r="N202" s="17"/>
      <c r="AO202" s="17"/>
      <c r="AP202" s="33"/>
    </row>
    <row r="203" spans="1:42">
      <c r="A203" s="17"/>
      <c r="B203" s="16"/>
      <c r="C203" s="17"/>
      <c r="D203" s="17"/>
      <c r="E203" s="17"/>
      <c r="F203" s="25"/>
      <c r="G203" s="26">
        <f t="shared" si="5"/>
        <v>0</v>
      </c>
      <c r="H203" s="20">
        <f>IFERROR(VLOOKUP(D203,PRODUCTOS!$B:$O,14,0),0)</f>
        <v>0</v>
      </c>
      <c r="I203" s="20">
        <f t="shared" si="6"/>
        <v>0</v>
      </c>
      <c r="J203" s="26">
        <f t="shared" si="7"/>
        <v>0</v>
      </c>
      <c r="K203" s="30">
        <f t="shared" si="8"/>
        <v>0</v>
      </c>
      <c r="L203" s="17"/>
      <c r="M203" s="20">
        <f t="shared" si="9"/>
        <v>0</v>
      </c>
      <c r="N203" s="17"/>
      <c r="AO203" s="17"/>
      <c r="AP203" s="33"/>
    </row>
    <row r="204" spans="1:42">
      <c r="A204" s="17"/>
      <c r="B204" s="16"/>
      <c r="C204" s="17"/>
      <c r="D204" s="17"/>
      <c r="E204" s="17"/>
      <c r="F204" s="25"/>
      <c r="G204" s="26">
        <f t="shared" si="5"/>
        <v>0</v>
      </c>
      <c r="H204" s="20">
        <f>IFERROR(VLOOKUP(D204,PRODUCTOS!$B:$O,14,0),0)</f>
        <v>0</v>
      </c>
      <c r="I204" s="20">
        <f t="shared" si="6"/>
        <v>0</v>
      </c>
      <c r="J204" s="26">
        <f t="shared" si="7"/>
        <v>0</v>
      </c>
      <c r="K204" s="30">
        <f t="shared" si="8"/>
        <v>0</v>
      </c>
      <c r="L204" s="17"/>
      <c r="M204" s="20">
        <f t="shared" si="9"/>
        <v>0</v>
      </c>
      <c r="N204" s="17"/>
      <c r="AO204" s="17"/>
      <c r="AP204" s="33"/>
    </row>
    <row r="205" spans="1:42">
      <c r="A205" s="17"/>
      <c r="B205" s="16"/>
      <c r="C205" s="17"/>
      <c r="D205" s="17"/>
      <c r="E205" s="17"/>
      <c r="F205" s="25"/>
      <c r="G205" s="26">
        <f t="shared" si="5"/>
        <v>0</v>
      </c>
      <c r="H205" s="20">
        <f>IFERROR(VLOOKUP(D205,PRODUCTOS!$B:$O,14,0),0)</f>
        <v>0</v>
      </c>
      <c r="I205" s="20">
        <f t="shared" si="6"/>
        <v>0</v>
      </c>
      <c r="J205" s="26">
        <f t="shared" si="7"/>
        <v>0</v>
      </c>
      <c r="K205" s="30">
        <f t="shared" si="8"/>
        <v>0</v>
      </c>
      <c r="L205" s="17"/>
      <c r="M205" s="20">
        <f t="shared" si="9"/>
        <v>0</v>
      </c>
      <c r="N205" s="17"/>
      <c r="AO205" s="17"/>
      <c r="AP205" s="33"/>
    </row>
    <row r="206" spans="1:42">
      <c r="A206" s="17"/>
      <c r="B206" s="16"/>
      <c r="C206" s="17"/>
      <c r="D206" s="17"/>
      <c r="E206" s="17"/>
      <c r="F206" s="25"/>
      <c r="G206" s="26">
        <f t="shared" si="5"/>
        <v>0</v>
      </c>
      <c r="H206" s="20">
        <f>IFERROR(VLOOKUP(D206,PRODUCTOS!$B:$O,14,0),0)</f>
        <v>0</v>
      </c>
      <c r="I206" s="20">
        <f t="shared" si="6"/>
        <v>0</v>
      </c>
      <c r="J206" s="26">
        <f t="shared" si="7"/>
        <v>0</v>
      </c>
      <c r="K206" s="30">
        <f t="shared" si="8"/>
        <v>0</v>
      </c>
      <c r="L206" s="17"/>
      <c r="M206" s="20">
        <f t="shared" si="9"/>
        <v>0</v>
      </c>
      <c r="N206" s="17"/>
      <c r="AO206" s="17"/>
      <c r="AP206" s="33"/>
    </row>
    <row r="207" spans="1:42">
      <c r="A207" s="17"/>
      <c r="B207" s="16"/>
      <c r="C207" s="17"/>
      <c r="D207" s="17"/>
      <c r="E207" s="17"/>
      <c r="F207" s="25"/>
      <c r="G207" s="26">
        <f t="shared" si="5"/>
        <v>0</v>
      </c>
      <c r="H207" s="20">
        <f>IFERROR(VLOOKUP(D207,PRODUCTOS!$B:$O,14,0),0)</f>
        <v>0</v>
      </c>
      <c r="I207" s="20">
        <f t="shared" si="6"/>
        <v>0</v>
      </c>
      <c r="J207" s="26">
        <f t="shared" si="7"/>
        <v>0</v>
      </c>
      <c r="K207" s="30">
        <f t="shared" si="8"/>
        <v>0</v>
      </c>
      <c r="L207" s="17"/>
      <c r="M207" s="20">
        <f t="shared" si="9"/>
        <v>0</v>
      </c>
      <c r="N207" s="17"/>
      <c r="AO207" s="17"/>
      <c r="AP207" s="33"/>
    </row>
    <row r="208" spans="1:42">
      <c r="A208" s="17"/>
      <c r="B208" s="16"/>
      <c r="C208" s="17"/>
      <c r="D208" s="17"/>
      <c r="E208" s="17"/>
      <c r="F208" s="25"/>
      <c r="G208" s="26">
        <f t="shared" si="5"/>
        <v>0</v>
      </c>
      <c r="H208" s="20">
        <f>IFERROR(VLOOKUP(D208,PRODUCTOS!$B:$O,14,0),0)</f>
        <v>0</v>
      </c>
      <c r="I208" s="20">
        <f t="shared" si="6"/>
        <v>0</v>
      </c>
      <c r="J208" s="26">
        <f t="shared" si="7"/>
        <v>0</v>
      </c>
      <c r="K208" s="30">
        <f t="shared" si="8"/>
        <v>0</v>
      </c>
      <c r="L208" s="17"/>
      <c r="M208" s="20">
        <f t="shared" si="9"/>
        <v>0</v>
      </c>
      <c r="N208" s="17"/>
      <c r="AO208" s="17"/>
      <c r="AP208" s="33"/>
    </row>
    <row r="209" spans="1:42">
      <c r="A209" s="17"/>
      <c r="B209" s="16"/>
      <c r="C209" s="17"/>
      <c r="D209" s="17"/>
      <c r="E209" s="17"/>
      <c r="F209" s="25"/>
      <c r="G209" s="26">
        <f t="shared" si="5"/>
        <v>0</v>
      </c>
      <c r="H209" s="20">
        <f>IFERROR(VLOOKUP(D209,PRODUCTOS!$B:$O,14,0),0)</f>
        <v>0</v>
      </c>
      <c r="I209" s="20">
        <f t="shared" si="6"/>
        <v>0</v>
      </c>
      <c r="J209" s="26">
        <f t="shared" si="7"/>
        <v>0</v>
      </c>
      <c r="K209" s="30">
        <f t="shared" si="8"/>
        <v>0</v>
      </c>
      <c r="L209" s="17"/>
      <c r="M209" s="20">
        <f t="shared" si="9"/>
        <v>0</v>
      </c>
      <c r="N209" s="17"/>
      <c r="AO209" s="17"/>
      <c r="AP209" s="33"/>
    </row>
    <row r="210" spans="1:42">
      <c r="A210" s="17"/>
      <c r="B210" s="16"/>
      <c r="C210" s="17"/>
      <c r="D210" s="17"/>
      <c r="E210" s="17"/>
      <c r="F210" s="25"/>
      <c r="G210" s="26">
        <f t="shared" si="5"/>
        <v>0</v>
      </c>
      <c r="H210" s="20">
        <f>IFERROR(VLOOKUP(D210,PRODUCTOS!$B:$O,14,0),0)</f>
        <v>0</v>
      </c>
      <c r="I210" s="20">
        <f t="shared" si="6"/>
        <v>0</v>
      </c>
      <c r="J210" s="26">
        <f t="shared" si="7"/>
        <v>0</v>
      </c>
      <c r="K210" s="30">
        <f t="shared" si="8"/>
        <v>0</v>
      </c>
      <c r="L210" s="17"/>
      <c r="M210" s="20">
        <f t="shared" si="9"/>
        <v>0</v>
      </c>
      <c r="N210" s="17"/>
      <c r="AO210" s="17"/>
      <c r="AP210" s="33"/>
    </row>
    <row r="211" spans="1:42">
      <c r="A211" s="17"/>
      <c r="B211" s="16"/>
      <c r="C211" s="17"/>
      <c r="D211" s="17"/>
      <c r="E211" s="17"/>
      <c r="F211" s="25"/>
      <c r="G211" s="26">
        <f t="shared" si="5"/>
        <v>0</v>
      </c>
      <c r="H211" s="20">
        <f>IFERROR(VLOOKUP(D211,PRODUCTOS!$B:$O,14,0),0)</f>
        <v>0</v>
      </c>
      <c r="I211" s="20">
        <f t="shared" si="6"/>
        <v>0</v>
      </c>
      <c r="J211" s="26">
        <f t="shared" si="7"/>
        <v>0</v>
      </c>
      <c r="K211" s="30">
        <f t="shared" si="8"/>
        <v>0</v>
      </c>
      <c r="L211" s="17"/>
      <c r="M211" s="20">
        <f t="shared" si="9"/>
        <v>0</v>
      </c>
      <c r="N211" s="17"/>
      <c r="AO211" s="17"/>
      <c r="AP211" s="33"/>
    </row>
    <row r="212" spans="1:42">
      <c r="A212" s="17"/>
      <c r="B212" s="16"/>
      <c r="C212" s="17"/>
      <c r="D212" s="17"/>
      <c r="E212" s="17"/>
      <c r="F212" s="25"/>
      <c r="G212" s="26">
        <f t="shared" si="5"/>
        <v>0</v>
      </c>
      <c r="H212" s="20">
        <f>IFERROR(VLOOKUP(D212,PRODUCTOS!$B:$O,14,0),0)</f>
        <v>0</v>
      </c>
      <c r="I212" s="20">
        <f t="shared" si="6"/>
        <v>0</v>
      </c>
      <c r="J212" s="26">
        <f t="shared" si="7"/>
        <v>0</v>
      </c>
      <c r="K212" s="30">
        <f t="shared" si="8"/>
        <v>0</v>
      </c>
      <c r="L212" s="17"/>
      <c r="M212" s="20">
        <f t="shared" si="9"/>
        <v>0</v>
      </c>
      <c r="N212" s="17"/>
      <c r="AO212" s="17"/>
      <c r="AP212" s="33"/>
    </row>
    <row r="213" spans="1:42">
      <c r="A213" s="17"/>
      <c r="B213" s="16"/>
      <c r="C213" s="17"/>
      <c r="D213" s="17"/>
      <c r="E213" s="17"/>
      <c r="F213" s="25"/>
      <c r="G213" s="26">
        <f t="shared" si="5"/>
        <v>0</v>
      </c>
      <c r="H213" s="20">
        <f>IFERROR(VLOOKUP(D213,PRODUCTOS!$B:$O,14,0),0)</f>
        <v>0</v>
      </c>
      <c r="I213" s="20">
        <f t="shared" si="6"/>
        <v>0</v>
      </c>
      <c r="J213" s="26">
        <f t="shared" si="7"/>
        <v>0</v>
      </c>
      <c r="K213" s="30">
        <f t="shared" si="8"/>
        <v>0</v>
      </c>
      <c r="L213" s="17"/>
      <c r="M213" s="20">
        <f t="shared" si="9"/>
        <v>0</v>
      </c>
      <c r="N213" s="17"/>
      <c r="AO213" s="17"/>
      <c r="AP213" s="33"/>
    </row>
    <row r="214" spans="1:42">
      <c r="A214" s="17"/>
      <c r="B214" s="16"/>
      <c r="C214" s="17"/>
      <c r="D214" s="17"/>
      <c r="E214" s="17"/>
      <c r="F214" s="25"/>
      <c r="G214" s="26">
        <f t="shared" si="5"/>
        <v>0</v>
      </c>
      <c r="H214" s="20">
        <f>IFERROR(VLOOKUP(D214,PRODUCTOS!$B:$O,14,0),0)</f>
        <v>0</v>
      </c>
      <c r="I214" s="20">
        <f t="shared" si="6"/>
        <v>0</v>
      </c>
      <c r="J214" s="26">
        <f t="shared" si="7"/>
        <v>0</v>
      </c>
      <c r="K214" s="30">
        <f t="shared" si="8"/>
        <v>0</v>
      </c>
      <c r="L214" s="17"/>
      <c r="M214" s="20">
        <f t="shared" si="9"/>
        <v>0</v>
      </c>
      <c r="N214" s="17"/>
      <c r="AO214" s="17"/>
      <c r="AP214" s="33"/>
    </row>
    <row r="215" spans="1:42">
      <c r="A215" s="17"/>
      <c r="B215" s="16"/>
      <c r="C215" s="17"/>
      <c r="D215" s="17"/>
      <c r="E215" s="17"/>
      <c r="F215" s="25"/>
      <c r="G215" s="26">
        <f t="shared" si="5"/>
        <v>0</v>
      </c>
      <c r="H215" s="20">
        <f>IFERROR(VLOOKUP(D215,PRODUCTOS!$B:$O,14,0),0)</f>
        <v>0</v>
      </c>
      <c r="I215" s="20">
        <f t="shared" si="6"/>
        <v>0</v>
      </c>
      <c r="J215" s="26">
        <f t="shared" si="7"/>
        <v>0</v>
      </c>
      <c r="K215" s="30">
        <f t="shared" si="8"/>
        <v>0</v>
      </c>
      <c r="L215" s="17"/>
      <c r="M215" s="20">
        <f t="shared" si="9"/>
        <v>0</v>
      </c>
      <c r="N215" s="17"/>
      <c r="AO215" s="17"/>
      <c r="AP215" s="33"/>
    </row>
    <row r="216" spans="1:42">
      <c r="A216" s="17"/>
      <c r="B216" s="16"/>
      <c r="C216" s="17"/>
      <c r="D216" s="17"/>
      <c r="E216" s="17"/>
      <c r="F216" s="25"/>
      <c r="G216" s="26">
        <f t="shared" si="5"/>
        <v>0</v>
      </c>
      <c r="H216" s="20">
        <f>IFERROR(VLOOKUP(D216,PRODUCTOS!$B:$O,14,0),0)</f>
        <v>0</v>
      </c>
      <c r="I216" s="20">
        <f t="shared" si="6"/>
        <v>0</v>
      </c>
      <c r="J216" s="26">
        <f t="shared" si="7"/>
        <v>0</v>
      </c>
      <c r="K216" s="30">
        <f t="shared" si="8"/>
        <v>0</v>
      </c>
      <c r="L216" s="17"/>
      <c r="M216" s="20">
        <f t="shared" si="9"/>
        <v>0</v>
      </c>
      <c r="N216" s="17"/>
      <c r="AO216" s="17"/>
      <c r="AP216" s="33"/>
    </row>
    <row r="217" spans="1:42">
      <c r="A217" s="17"/>
      <c r="B217" s="16"/>
      <c r="C217" s="17"/>
      <c r="D217" s="17"/>
      <c r="E217" s="17"/>
      <c r="F217" s="25"/>
      <c r="G217" s="26">
        <f t="shared" si="5"/>
        <v>0</v>
      </c>
      <c r="H217" s="20">
        <f>IFERROR(VLOOKUP(D217,PRODUCTOS!$B:$O,14,0),0)</f>
        <v>0</v>
      </c>
      <c r="I217" s="20">
        <f t="shared" si="6"/>
        <v>0</v>
      </c>
      <c r="J217" s="26">
        <f t="shared" si="7"/>
        <v>0</v>
      </c>
      <c r="K217" s="30">
        <f t="shared" si="8"/>
        <v>0</v>
      </c>
      <c r="L217" s="17"/>
      <c r="M217" s="20">
        <f t="shared" si="9"/>
        <v>0</v>
      </c>
      <c r="N217" s="17"/>
      <c r="AO217" s="17"/>
      <c r="AP217" s="33"/>
    </row>
    <row r="218" spans="1:42">
      <c r="A218" s="17"/>
      <c r="B218" s="16"/>
      <c r="C218" s="17"/>
      <c r="D218" s="17"/>
      <c r="E218" s="17"/>
      <c r="F218" s="25"/>
      <c r="G218" s="26">
        <f t="shared" si="5"/>
        <v>0</v>
      </c>
      <c r="H218" s="20">
        <f>IFERROR(VLOOKUP(D218,PRODUCTOS!$B:$O,14,0),0)</f>
        <v>0</v>
      </c>
      <c r="I218" s="20">
        <f t="shared" si="6"/>
        <v>0</v>
      </c>
      <c r="J218" s="26">
        <f t="shared" si="7"/>
        <v>0</v>
      </c>
      <c r="K218" s="30">
        <f t="shared" si="8"/>
        <v>0</v>
      </c>
      <c r="L218" s="17"/>
      <c r="M218" s="20">
        <f t="shared" si="9"/>
        <v>0</v>
      </c>
      <c r="N218" s="17"/>
      <c r="AO218" s="17"/>
      <c r="AP218" s="33"/>
    </row>
    <row r="219" spans="1:42">
      <c r="A219" s="17"/>
      <c r="B219" s="16"/>
      <c r="C219" s="17"/>
      <c r="D219" s="17"/>
      <c r="E219" s="17"/>
      <c r="F219" s="25"/>
      <c r="G219" s="26">
        <f t="shared" si="5"/>
        <v>0</v>
      </c>
      <c r="H219" s="20">
        <f>IFERROR(VLOOKUP(D219,PRODUCTOS!$B:$O,14,0),0)</f>
        <v>0</v>
      </c>
      <c r="I219" s="20">
        <f t="shared" si="6"/>
        <v>0</v>
      </c>
      <c r="J219" s="26">
        <f t="shared" si="7"/>
        <v>0</v>
      </c>
      <c r="K219" s="30">
        <f t="shared" si="8"/>
        <v>0</v>
      </c>
      <c r="L219" s="17"/>
      <c r="M219" s="20">
        <f t="shared" si="9"/>
        <v>0</v>
      </c>
      <c r="N219" s="17"/>
      <c r="AO219" s="17"/>
      <c r="AP219" s="33"/>
    </row>
    <row r="220" spans="1:42">
      <c r="A220" s="17"/>
      <c r="B220" s="16"/>
      <c r="C220" s="17"/>
      <c r="D220" s="17"/>
      <c r="E220" s="17"/>
      <c r="F220" s="25"/>
      <c r="G220" s="26">
        <f t="shared" si="5"/>
        <v>0</v>
      </c>
      <c r="H220" s="20">
        <f>IFERROR(VLOOKUP(D220,PRODUCTOS!$B:$O,14,0),0)</f>
        <v>0</v>
      </c>
      <c r="I220" s="20">
        <f t="shared" si="6"/>
        <v>0</v>
      </c>
      <c r="J220" s="26">
        <f t="shared" si="7"/>
        <v>0</v>
      </c>
      <c r="K220" s="30">
        <f t="shared" si="8"/>
        <v>0</v>
      </c>
      <c r="L220" s="17"/>
      <c r="M220" s="20">
        <f t="shared" si="9"/>
        <v>0</v>
      </c>
      <c r="N220" s="17"/>
      <c r="AO220" s="17"/>
      <c r="AP220" s="33"/>
    </row>
    <row r="221" spans="1:42">
      <c r="A221" s="17"/>
      <c r="B221" s="16"/>
      <c r="C221" s="17"/>
      <c r="D221" s="17"/>
      <c r="E221" s="17"/>
      <c r="F221" s="25"/>
      <c r="G221" s="26">
        <f t="shared" si="5"/>
        <v>0</v>
      </c>
      <c r="H221" s="20">
        <f>IFERROR(VLOOKUP(D221,PRODUCTOS!$B:$O,14,0),0)</f>
        <v>0</v>
      </c>
      <c r="I221" s="20">
        <f t="shared" si="6"/>
        <v>0</v>
      </c>
      <c r="J221" s="26">
        <f t="shared" si="7"/>
        <v>0</v>
      </c>
      <c r="K221" s="30">
        <f t="shared" si="8"/>
        <v>0</v>
      </c>
      <c r="L221" s="17"/>
      <c r="M221" s="20">
        <f t="shared" si="9"/>
        <v>0</v>
      </c>
      <c r="N221" s="17"/>
      <c r="AO221" s="17"/>
      <c r="AP221" s="33"/>
    </row>
    <row r="222" spans="1:42">
      <c r="A222" s="17"/>
      <c r="B222" s="16"/>
      <c r="C222" s="17"/>
      <c r="D222" s="17"/>
      <c r="E222" s="17"/>
      <c r="F222" s="25"/>
      <c r="G222" s="26">
        <f t="shared" si="5"/>
        <v>0</v>
      </c>
      <c r="H222" s="20">
        <f>IFERROR(VLOOKUP(D222,PRODUCTOS!$B:$O,14,0),0)</f>
        <v>0</v>
      </c>
      <c r="I222" s="20">
        <f t="shared" si="6"/>
        <v>0</v>
      </c>
      <c r="J222" s="26">
        <f t="shared" si="7"/>
        <v>0</v>
      </c>
      <c r="K222" s="30">
        <f t="shared" si="8"/>
        <v>0</v>
      </c>
      <c r="L222" s="17"/>
      <c r="M222" s="20">
        <f t="shared" si="9"/>
        <v>0</v>
      </c>
      <c r="N222" s="17"/>
      <c r="AO222" s="17"/>
      <c r="AP222" s="33"/>
    </row>
    <row r="223" spans="1:42">
      <c r="A223" s="17"/>
      <c r="B223" s="16"/>
      <c r="C223" s="17"/>
      <c r="D223" s="17"/>
      <c r="E223" s="17"/>
      <c r="F223" s="25"/>
      <c r="G223" s="26">
        <f t="shared" si="5"/>
        <v>0</v>
      </c>
      <c r="H223" s="20">
        <f>IFERROR(VLOOKUP(D223,PRODUCTOS!$B:$O,14,0),0)</f>
        <v>0</v>
      </c>
      <c r="I223" s="20">
        <f t="shared" si="6"/>
        <v>0</v>
      </c>
      <c r="J223" s="26">
        <f t="shared" si="7"/>
        <v>0</v>
      </c>
      <c r="K223" s="30">
        <f t="shared" si="8"/>
        <v>0</v>
      </c>
      <c r="L223" s="17"/>
      <c r="M223" s="20">
        <f t="shared" si="9"/>
        <v>0</v>
      </c>
      <c r="N223" s="17"/>
      <c r="AO223" s="17"/>
      <c r="AP223" s="33"/>
    </row>
    <row r="224" spans="1:42">
      <c r="A224" s="17"/>
      <c r="B224" s="16"/>
      <c r="C224" s="17"/>
      <c r="D224" s="17"/>
      <c r="E224" s="17"/>
      <c r="F224" s="25"/>
      <c r="G224" s="26">
        <f t="shared" si="5"/>
        <v>0</v>
      </c>
      <c r="H224" s="20">
        <f>IFERROR(VLOOKUP(D224,PRODUCTOS!$B:$O,14,0),0)</f>
        <v>0</v>
      </c>
      <c r="I224" s="20">
        <f t="shared" si="6"/>
        <v>0</v>
      </c>
      <c r="J224" s="26">
        <f t="shared" si="7"/>
        <v>0</v>
      </c>
      <c r="K224" s="30">
        <f t="shared" si="8"/>
        <v>0</v>
      </c>
      <c r="L224" s="17"/>
      <c r="M224" s="20">
        <f t="shared" si="9"/>
        <v>0</v>
      </c>
      <c r="N224" s="17"/>
      <c r="AO224" s="17"/>
      <c r="AP224" s="33"/>
    </row>
    <row r="225" spans="1:42">
      <c r="A225" s="17"/>
      <c r="B225" s="16"/>
      <c r="C225" s="17"/>
      <c r="D225" s="17"/>
      <c r="E225" s="17"/>
      <c r="F225" s="25"/>
      <c r="G225" s="26">
        <f t="shared" si="5"/>
        <v>0</v>
      </c>
      <c r="H225" s="20">
        <f>IFERROR(VLOOKUP(D225,PRODUCTOS!$B:$O,14,0),0)</f>
        <v>0</v>
      </c>
      <c r="I225" s="20">
        <f t="shared" si="6"/>
        <v>0</v>
      </c>
      <c r="J225" s="26">
        <f t="shared" si="7"/>
        <v>0</v>
      </c>
      <c r="K225" s="30">
        <f t="shared" si="8"/>
        <v>0</v>
      </c>
      <c r="L225" s="17"/>
      <c r="M225" s="20">
        <f t="shared" si="9"/>
        <v>0</v>
      </c>
      <c r="N225" s="17"/>
      <c r="AO225" s="17"/>
      <c r="AP225" s="33"/>
    </row>
    <row r="226" spans="1:42">
      <c r="A226" s="17"/>
      <c r="B226" s="16"/>
      <c r="C226" s="17"/>
      <c r="D226" s="17"/>
      <c r="E226" s="17"/>
      <c r="F226" s="25"/>
      <c r="G226" s="26">
        <f t="shared" si="5"/>
        <v>0</v>
      </c>
      <c r="H226" s="20">
        <f>IFERROR(VLOOKUP(D226,PRODUCTOS!$B:$O,14,0),0)</f>
        <v>0</v>
      </c>
      <c r="I226" s="20">
        <f t="shared" si="6"/>
        <v>0</v>
      </c>
      <c r="J226" s="26">
        <f t="shared" si="7"/>
        <v>0</v>
      </c>
      <c r="K226" s="30">
        <f t="shared" si="8"/>
        <v>0</v>
      </c>
      <c r="L226" s="17"/>
      <c r="M226" s="20">
        <f t="shared" si="9"/>
        <v>0</v>
      </c>
      <c r="N226" s="17"/>
      <c r="AO226" s="17"/>
      <c r="AP226" s="33"/>
    </row>
    <row r="227" spans="1:42">
      <c r="A227" s="17"/>
      <c r="B227" s="16"/>
      <c r="C227" s="17"/>
      <c r="D227" s="17"/>
      <c r="E227" s="17"/>
      <c r="F227" s="25"/>
      <c r="G227" s="26">
        <f t="shared" si="5"/>
        <v>0</v>
      </c>
      <c r="H227" s="20">
        <f>IFERROR(VLOOKUP(D227,PRODUCTOS!$B:$O,14,0),0)</f>
        <v>0</v>
      </c>
      <c r="I227" s="20">
        <f t="shared" si="6"/>
        <v>0</v>
      </c>
      <c r="J227" s="26">
        <f t="shared" si="7"/>
        <v>0</v>
      </c>
      <c r="K227" s="30">
        <f t="shared" si="8"/>
        <v>0</v>
      </c>
      <c r="L227" s="17"/>
      <c r="M227" s="20">
        <f t="shared" si="9"/>
        <v>0</v>
      </c>
      <c r="N227" s="17"/>
      <c r="AO227" s="17"/>
      <c r="AP227" s="33"/>
    </row>
    <row r="228" spans="1:42">
      <c r="A228" s="17"/>
      <c r="B228" s="16"/>
      <c r="C228" s="17"/>
      <c r="D228" s="17"/>
      <c r="E228" s="17"/>
      <c r="F228" s="25"/>
      <c r="G228" s="26">
        <f t="shared" si="5"/>
        <v>0</v>
      </c>
      <c r="H228" s="20">
        <f>IFERROR(VLOOKUP(D228,PRODUCTOS!$B:$O,14,0),0)</f>
        <v>0</v>
      </c>
      <c r="I228" s="20">
        <f t="shared" si="6"/>
        <v>0</v>
      </c>
      <c r="J228" s="26">
        <f t="shared" si="7"/>
        <v>0</v>
      </c>
      <c r="K228" s="30">
        <f t="shared" si="8"/>
        <v>0</v>
      </c>
      <c r="L228" s="17"/>
      <c r="M228" s="20">
        <f t="shared" si="9"/>
        <v>0</v>
      </c>
      <c r="N228" s="17"/>
      <c r="AO228" s="17"/>
      <c r="AP228" s="33"/>
    </row>
    <row r="229" spans="1:42">
      <c r="A229" s="17"/>
      <c r="B229" s="16"/>
      <c r="C229" s="17"/>
      <c r="D229" s="17"/>
      <c r="E229" s="17"/>
      <c r="F229" s="25"/>
      <c r="G229" s="26">
        <f t="shared" si="5"/>
        <v>0</v>
      </c>
      <c r="H229" s="20">
        <f>IFERROR(VLOOKUP(D229,PRODUCTOS!$B:$O,14,0),0)</f>
        <v>0</v>
      </c>
      <c r="I229" s="20">
        <f t="shared" si="6"/>
        <v>0</v>
      </c>
      <c r="J229" s="26">
        <f t="shared" si="7"/>
        <v>0</v>
      </c>
      <c r="K229" s="30">
        <f t="shared" si="8"/>
        <v>0</v>
      </c>
      <c r="L229" s="17"/>
      <c r="M229" s="20">
        <f t="shared" si="9"/>
        <v>0</v>
      </c>
      <c r="N229" s="17"/>
      <c r="AO229" s="17"/>
      <c r="AP229" s="33"/>
    </row>
    <row r="230" spans="1:42">
      <c r="A230" s="17"/>
      <c r="B230" s="16"/>
      <c r="C230" s="17"/>
      <c r="D230" s="17"/>
      <c r="E230" s="17"/>
      <c r="F230" s="25"/>
      <c r="G230" s="26">
        <f t="shared" si="5"/>
        <v>0</v>
      </c>
      <c r="H230" s="20">
        <f>IFERROR(VLOOKUP(D230,PRODUCTOS!$B:$O,14,0),0)</f>
        <v>0</v>
      </c>
      <c r="I230" s="20">
        <f t="shared" si="6"/>
        <v>0</v>
      </c>
      <c r="J230" s="26">
        <f t="shared" si="7"/>
        <v>0</v>
      </c>
      <c r="K230" s="30">
        <f t="shared" si="8"/>
        <v>0</v>
      </c>
      <c r="L230" s="17"/>
      <c r="M230" s="20">
        <f t="shared" si="9"/>
        <v>0</v>
      </c>
      <c r="N230" s="17"/>
      <c r="AO230" s="17"/>
      <c r="AP230" s="33"/>
    </row>
    <row r="231" spans="1:42">
      <c r="A231" s="17"/>
      <c r="B231" s="16"/>
      <c r="C231" s="17"/>
      <c r="D231" s="17"/>
      <c r="E231" s="17"/>
      <c r="F231" s="25"/>
      <c r="G231" s="26">
        <f t="shared" si="5"/>
        <v>0</v>
      </c>
      <c r="H231" s="20">
        <f>IFERROR(VLOOKUP(D231,PRODUCTOS!$B:$O,14,0),0)</f>
        <v>0</v>
      </c>
      <c r="I231" s="20">
        <f t="shared" si="6"/>
        <v>0</v>
      </c>
      <c r="J231" s="26">
        <f t="shared" si="7"/>
        <v>0</v>
      </c>
      <c r="K231" s="30">
        <f t="shared" si="8"/>
        <v>0</v>
      </c>
      <c r="L231" s="17"/>
      <c r="M231" s="20">
        <f t="shared" si="9"/>
        <v>0</v>
      </c>
      <c r="N231" s="17"/>
      <c r="AO231" s="17"/>
      <c r="AP231" s="33"/>
    </row>
    <row r="232" spans="1:42">
      <c r="A232" s="17"/>
      <c r="B232" s="16"/>
      <c r="C232" s="17"/>
      <c r="D232" s="17"/>
      <c r="E232" s="17"/>
      <c r="F232" s="25"/>
      <c r="G232" s="26">
        <f t="shared" si="5"/>
        <v>0</v>
      </c>
      <c r="H232" s="20">
        <f>IFERROR(VLOOKUP(D232,PRODUCTOS!$B:$O,14,0),0)</f>
        <v>0</v>
      </c>
      <c r="I232" s="20">
        <f t="shared" si="6"/>
        <v>0</v>
      </c>
      <c r="J232" s="26">
        <f t="shared" si="7"/>
        <v>0</v>
      </c>
      <c r="K232" s="30">
        <f t="shared" si="8"/>
        <v>0</v>
      </c>
      <c r="L232" s="17"/>
      <c r="M232" s="20">
        <f t="shared" si="9"/>
        <v>0</v>
      </c>
      <c r="N232" s="17"/>
      <c r="AO232" s="17"/>
      <c r="AP232" s="33"/>
    </row>
    <row r="233" spans="1:42">
      <c r="A233" s="17"/>
      <c r="B233" s="16"/>
      <c r="C233" s="17"/>
      <c r="D233" s="17"/>
      <c r="E233" s="17"/>
      <c r="F233" s="25"/>
      <c r="G233" s="26">
        <f t="shared" si="5"/>
        <v>0</v>
      </c>
      <c r="H233" s="20">
        <f>IFERROR(VLOOKUP(D233,PRODUCTOS!$B:$O,14,0),0)</f>
        <v>0</v>
      </c>
      <c r="I233" s="20">
        <f t="shared" si="6"/>
        <v>0</v>
      </c>
      <c r="J233" s="26">
        <f t="shared" si="7"/>
        <v>0</v>
      </c>
      <c r="K233" s="30">
        <f t="shared" si="8"/>
        <v>0</v>
      </c>
      <c r="L233" s="17"/>
      <c r="M233" s="20">
        <f t="shared" si="9"/>
        <v>0</v>
      </c>
      <c r="N233" s="17"/>
      <c r="AO233" s="17"/>
      <c r="AP233" s="33"/>
    </row>
    <row r="234" spans="1:42">
      <c r="A234" s="17"/>
      <c r="B234" s="16"/>
      <c r="C234" s="17"/>
      <c r="D234" s="17"/>
      <c r="E234" s="17"/>
      <c r="F234" s="25"/>
      <c r="G234" s="26">
        <f t="shared" ref="G234:G297" si="10">IFERROR(E234*F234,0)</f>
        <v>0</v>
      </c>
      <c r="H234" s="20">
        <f>IFERROR(VLOOKUP(D234,PRODUCTOS!$B:$O,14,0),0)</f>
        <v>0</v>
      </c>
      <c r="I234" s="20">
        <f t="shared" ref="I234:I297" si="11">IFERROR(E234*H234,0)</f>
        <v>0</v>
      </c>
      <c r="J234" s="26">
        <f t="shared" ref="J234:J297" si="12">IFERROR(G234-I234,0)</f>
        <v>0</v>
      </c>
      <c r="K234" s="30">
        <f t="shared" ref="K234:K297" si="13">IF(G234&gt;0,J234/G234,0)</f>
        <v>0</v>
      </c>
      <c r="L234" s="17"/>
      <c r="M234" s="20">
        <f t="shared" ref="M234:M297" si="14">IF(L234&gt;0,J234/(L234/60),0)</f>
        <v>0</v>
      </c>
      <c r="N234" s="17"/>
      <c r="AO234" s="17"/>
      <c r="AP234" s="33"/>
    </row>
    <row r="235" spans="1:42">
      <c r="A235" s="17"/>
      <c r="B235" s="16"/>
      <c r="C235" s="17"/>
      <c r="D235" s="17"/>
      <c r="E235" s="17"/>
      <c r="F235" s="25"/>
      <c r="G235" s="26">
        <f t="shared" si="10"/>
        <v>0</v>
      </c>
      <c r="H235" s="20">
        <f>IFERROR(VLOOKUP(D235,PRODUCTOS!$B:$O,14,0),0)</f>
        <v>0</v>
      </c>
      <c r="I235" s="20">
        <f t="shared" si="11"/>
        <v>0</v>
      </c>
      <c r="J235" s="26">
        <f t="shared" si="12"/>
        <v>0</v>
      </c>
      <c r="K235" s="30">
        <f t="shared" si="13"/>
        <v>0</v>
      </c>
      <c r="L235" s="17"/>
      <c r="M235" s="20">
        <f t="shared" si="14"/>
        <v>0</v>
      </c>
      <c r="N235" s="17"/>
      <c r="AO235" s="17"/>
      <c r="AP235" s="33"/>
    </row>
    <row r="236" spans="1:42">
      <c r="A236" s="17"/>
      <c r="B236" s="16"/>
      <c r="C236" s="17"/>
      <c r="D236" s="17"/>
      <c r="E236" s="17"/>
      <c r="F236" s="25"/>
      <c r="G236" s="26">
        <f t="shared" si="10"/>
        <v>0</v>
      </c>
      <c r="H236" s="20">
        <f>IFERROR(VLOOKUP(D236,PRODUCTOS!$B:$O,14,0),0)</f>
        <v>0</v>
      </c>
      <c r="I236" s="20">
        <f t="shared" si="11"/>
        <v>0</v>
      </c>
      <c r="J236" s="26">
        <f t="shared" si="12"/>
        <v>0</v>
      </c>
      <c r="K236" s="30">
        <f t="shared" si="13"/>
        <v>0</v>
      </c>
      <c r="L236" s="17"/>
      <c r="M236" s="20">
        <f t="shared" si="14"/>
        <v>0</v>
      </c>
      <c r="N236" s="17"/>
      <c r="AO236" s="17"/>
      <c r="AP236" s="33"/>
    </row>
    <row r="237" spans="1:42">
      <c r="A237" s="17"/>
      <c r="B237" s="16"/>
      <c r="C237" s="17"/>
      <c r="D237" s="17"/>
      <c r="E237" s="17"/>
      <c r="F237" s="25"/>
      <c r="G237" s="26">
        <f t="shared" si="10"/>
        <v>0</v>
      </c>
      <c r="H237" s="20">
        <f>IFERROR(VLOOKUP(D237,PRODUCTOS!$B:$O,14,0),0)</f>
        <v>0</v>
      </c>
      <c r="I237" s="20">
        <f t="shared" si="11"/>
        <v>0</v>
      </c>
      <c r="J237" s="26">
        <f t="shared" si="12"/>
        <v>0</v>
      </c>
      <c r="K237" s="30">
        <f t="shared" si="13"/>
        <v>0</v>
      </c>
      <c r="L237" s="17"/>
      <c r="M237" s="20">
        <f t="shared" si="14"/>
        <v>0</v>
      </c>
      <c r="N237" s="17"/>
      <c r="AO237" s="17"/>
      <c r="AP237" s="33"/>
    </row>
    <row r="238" spans="1:42">
      <c r="A238" s="17"/>
      <c r="B238" s="16"/>
      <c r="C238" s="17"/>
      <c r="D238" s="17"/>
      <c r="E238" s="17"/>
      <c r="F238" s="25"/>
      <c r="G238" s="26">
        <f t="shared" si="10"/>
        <v>0</v>
      </c>
      <c r="H238" s="20">
        <f>IFERROR(VLOOKUP(D238,PRODUCTOS!$B:$O,14,0),0)</f>
        <v>0</v>
      </c>
      <c r="I238" s="20">
        <f t="shared" si="11"/>
        <v>0</v>
      </c>
      <c r="J238" s="26">
        <f t="shared" si="12"/>
        <v>0</v>
      </c>
      <c r="K238" s="30">
        <f t="shared" si="13"/>
        <v>0</v>
      </c>
      <c r="L238" s="17"/>
      <c r="M238" s="20">
        <f t="shared" si="14"/>
        <v>0</v>
      </c>
      <c r="N238" s="17"/>
      <c r="AO238" s="17"/>
      <c r="AP238" s="33"/>
    </row>
    <row r="239" spans="1:42">
      <c r="A239" s="17"/>
      <c r="B239" s="16"/>
      <c r="C239" s="17"/>
      <c r="D239" s="17"/>
      <c r="E239" s="17"/>
      <c r="F239" s="25"/>
      <c r="G239" s="26">
        <f t="shared" si="10"/>
        <v>0</v>
      </c>
      <c r="H239" s="20">
        <f>IFERROR(VLOOKUP(D239,PRODUCTOS!$B:$O,14,0),0)</f>
        <v>0</v>
      </c>
      <c r="I239" s="20">
        <f t="shared" si="11"/>
        <v>0</v>
      </c>
      <c r="J239" s="26">
        <f t="shared" si="12"/>
        <v>0</v>
      </c>
      <c r="K239" s="30">
        <f t="shared" si="13"/>
        <v>0</v>
      </c>
      <c r="L239" s="17"/>
      <c r="M239" s="20">
        <f t="shared" si="14"/>
        <v>0</v>
      </c>
      <c r="N239" s="17"/>
      <c r="AO239" s="17"/>
      <c r="AP239" s="33"/>
    </row>
    <row r="240" spans="1:42">
      <c r="A240" s="17"/>
      <c r="B240" s="16"/>
      <c r="C240" s="17"/>
      <c r="D240" s="17"/>
      <c r="E240" s="17"/>
      <c r="F240" s="25"/>
      <c r="G240" s="26">
        <f t="shared" si="10"/>
        <v>0</v>
      </c>
      <c r="H240" s="20">
        <f>IFERROR(VLOOKUP(D240,PRODUCTOS!$B:$O,14,0),0)</f>
        <v>0</v>
      </c>
      <c r="I240" s="20">
        <f t="shared" si="11"/>
        <v>0</v>
      </c>
      <c r="J240" s="26">
        <f t="shared" si="12"/>
        <v>0</v>
      </c>
      <c r="K240" s="30">
        <f t="shared" si="13"/>
        <v>0</v>
      </c>
      <c r="L240" s="17"/>
      <c r="M240" s="20">
        <f t="shared" si="14"/>
        <v>0</v>
      </c>
      <c r="N240" s="17"/>
      <c r="AO240" s="17"/>
      <c r="AP240" s="33"/>
    </row>
    <row r="241" spans="1:42">
      <c r="A241" s="17"/>
      <c r="B241" s="16"/>
      <c r="C241" s="17"/>
      <c r="D241" s="17"/>
      <c r="E241" s="17"/>
      <c r="F241" s="25"/>
      <c r="G241" s="26">
        <f t="shared" si="10"/>
        <v>0</v>
      </c>
      <c r="H241" s="20">
        <f>IFERROR(VLOOKUP(D241,PRODUCTOS!$B:$O,14,0),0)</f>
        <v>0</v>
      </c>
      <c r="I241" s="20">
        <f t="shared" si="11"/>
        <v>0</v>
      </c>
      <c r="J241" s="26">
        <f t="shared" si="12"/>
        <v>0</v>
      </c>
      <c r="K241" s="30">
        <f t="shared" si="13"/>
        <v>0</v>
      </c>
      <c r="L241" s="17"/>
      <c r="M241" s="20">
        <f t="shared" si="14"/>
        <v>0</v>
      </c>
      <c r="N241" s="17"/>
      <c r="AO241" s="17"/>
      <c r="AP241" s="33"/>
    </row>
    <row r="242" spans="1:42">
      <c r="A242" s="17"/>
      <c r="B242" s="16"/>
      <c r="C242" s="17"/>
      <c r="D242" s="17"/>
      <c r="E242" s="17"/>
      <c r="F242" s="25"/>
      <c r="G242" s="26">
        <f t="shared" si="10"/>
        <v>0</v>
      </c>
      <c r="H242" s="20">
        <f>IFERROR(VLOOKUP(D242,PRODUCTOS!$B:$O,14,0),0)</f>
        <v>0</v>
      </c>
      <c r="I242" s="20">
        <f t="shared" si="11"/>
        <v>0</v>
      </c>
      <c r="J242" s="26">
        <f t="shared" si="12"/>
        <v>0</v>
      </c>
      <c r="K242" s="30">
        <f t="shared" si="13"/>
        <v>0</v>
      </c>
      <c r="L242" s="17"/>
      <c r="M242" s="20">
        <f t="shared" si="14"/>
        <v>0</v>
      </c>
      <c r="N242" s="17"/>
      <c r="AO242" s="17"/>
      <c r="AP242" s="33"/>
    </row>
    <row r="243" spans="1:42">
      <c r="A243" s="17"/>
      <c r="B243" s="16"/>
      <c r="C243" s="17"/>
      <c r="D243" s="17"/>
      <c r="E243" s="17"/>
      <c r="F243" s="25"/>
      <c r="G243" s="26">
        <f t="shared" si="10"/>
        <v>0</v>
      </c>
      <c r="H243" s="20">
        <f>IFERROR(VLOOKUP(D243,PRODUCTOS!$B:$O,14,0),0)</f>
        <v>0</v>
      </c>
      <c r="I243" s="20">
        <f t="shared" si="11"/>
        <v>0</v>
      </c>
      <c r="J243" s="26">
        <f t="shared" si="12"/>
        <v>0</v>
      </c>
      <c r="K243" s="30">
        <f t="shared" si="13"/>
        <v>0</v>
      </c>
      <c r="L243" s="17"/>
      <c r="M243" s="20">
        <f t="shared" si="14"/>
        <v>0</v>
      </c>
      <c r="N243" s="17"/>
      <c r="AO243" s="17"/>
      <c r="AP243" s="33"/>
    </row>
    <row r="244" spans="1:42">
      <c r="A244" s="17"/>
      <c r="B244" s="16"/>
      <c r="C244" s="17"/>
      <c r="D244" s="17"/>
      <c r="E244" s="17"/>
      <c r="F244" s="25"/>
      <c r="G244" s="26">
        <f t="shared" si="10"/>
        <v>0</v>
      </c>
      <c r="H244" s="20">
        <f>IFERROR(VLOOKUP(D244,PRODUCTOS!$B:$O,14,0),0)</f>
        <v>0</v>
      </c>
      <c r="I244" s="20">
        <f t="shared" si="11"/>
        <v>0</v>
      </c>
      <c r="J244" s="26">
        <f t="shared" si="12"/>
        <v>0</v>
      </c>
      <c r="K244" s="30">
        <f t="shared" si="13"/>
        <v>0</v>
      </c>
      <c r="L244" s="17"/>
      <c r="M244" s="20">
        <f t="shared" si="14"/>
        <v>0</v>
      </c>
      <c r="N244" s="17"/>
      <c r="AO244" s="17"/>
      <c r="AP244" s="33"/>
    </row>
    <row r="245" spans="1:42">
      <c r="A245" s="17"/>
      <c r="B245" s="16"/>
      <c r="C245" s="17"/>
      <c r="D245" s="17"/>
      <c r="E245" s="17"/>
      <c r="F245" s="25"/>
      <c r="G245" s="26">
        <f t="shared" si="10"/>
        <v>0</v>
      </c>
      <c r="H245" s="20">
        <f>IFERROR(VLOOKUP(D245,PRODUCTOS!$B:$O,14,0),0)</f>
        <v>0</v>
      </c>
      <c r="I245" s="20">
        <f t="shared" si="11"/>
        <v>0</v>
      </c>
      <c r="J245" s="26">
        <f t="shared" si="12"/>
        <v>0</v>
      </c>
      <c r="K245" s="30">
        <f t="shared" si="13"/>
        <v>0</v>
      </c>
      <c r="L245" s="17"/>
      <c r="M245" s="20">
        <f t="shared" si="14"/>
        <v>0</v>
      </c>
      <c r="N245" s="17"/>
      <c r="AO245" s="17"/>
      <c r="AP245" s="33"/>
    </row>
    <row r="246" spans="1:42">
      <c r="A246" s="17"/>
      <c r="B246" s="16"/>
      <c r="C246" s="17"/>
      <c r="D246" s="17"/>
      <c r="E246" s="17"/>
      <c r="F246" s="25"/>
      <c r="G246" s="26">
        <f t="shared" si="10"/>
        <v>0</v>
      </c>
      <c r="H246" s="20">
        <f>IFERROR(VLOOKUP(D246,PRODUCTOS!$B:$O,14,0),0)</f>
        <v>0</v>
      </c>
      <c r="I246" s="20">
        <f t="shared" si="11"/>
        <v>0</v>
      </c>
      <c r="J246" s="26">
        <f t="shared" si="12"/>
        <v>0</v>
      </c>
      <c r="K246" s="30">
        <f t="shared" si="13"/>
        <v>0</v>
      </c>
      <c r="L246" s="17"/>
      <c r="M246" s="20">
        <f t="shared" si="14"/>
        <v>0</v>
      </c>
      <c r="N246" s="17"/>
      <c r="AO246" s="17"/>
      <c r="AP246" s="33"/>
    </row>
    <row r="247" spans="1:42">
      <c r="A247" s="17"/>
      <c r="B247" s="16"/>
      <c r="C247" s="17"/>
      <c r="D247" s="17"/>
      <c r="E247" s="17"/>
      <c r="F247" s="25"/>
      <c r="G247" s="26">
        <f t="shared" si="10"/>
        <v>0</v>
      </c>
      <c r="H247" s="20">
        <f>IFERROR(VLOOKUP(D247,PRODUCTOS!$B:$O,14,0),0)</f>
        <v>0</v>
      </c>
      <c r="I247" s="20">
        <f t="shared" si="11"/>
        <v>0</v>
      </c>
      <c r="J247" s="26">
        <f t="shared" si="12"/>
        <v>0</v>
      </c>
      <c r="K247" s="30">
        <f t="shared" si="13"/>
        <v>0</v>
      </c>
      <c r="L247" s="17"/>
      <c r="M247" s="20">
        <f t="shared" si="14"/>
        <v>0</v>
      </c>
      <c r="N247" s="17"/>
      <c r="AO247" s="17"/>
      <c r="AP247" s="33"/>
    </row>
    <row r="248" spans="1:42">
      <c r="A248" s="17"/>
      <c r="B248" s="16"/>
      <c r="C248" s="17"/>
      <c r="D248" s="17"/>
      <c r="E248" s="17"/>
      <c r="F248" s="25"/>
      <c r="G248" s="26">
        <f t="shared" si="10"/>
        <v>0</v>
      </c>
      <c r="H248" s="20">
        <f>IFERROR(VLOOKUP(D248,PRODUCTOS!$B:$O,14,0),0)</f>
        <v>0</v>
      </c>
      <c r="I248" s="20">
        <f t="shared" si="11"/>
        <v>0</v>
      </c>
      <c r="J248" s="26">
        <f t="shared" si="12"/>
        <v>0</v>
      </c>
      <c r="K248" s="30">
        <f t="shared" si="13"/>
        <v>0</v>
      </c>
      <c r="L248" s="17"/>
      <c r="M248" s="20">
        <f t="shared" si="14"/>
        <v>0</v>
      </c>
      <c r="N248" s="17"/>
      <c r="AO248" s="17"/>
      <c r="AP248" s="33"/>
    </row>
    <row r="249" spans="1:42">
      <c r="A249" s="17"/>
      <c r="B249" s="16"/>
      <c r="C249" s="17"/>
      <c r="D249" s="17"/>
      <c r="E249" s="17"/>
      <c r="F249" s="25"/>
      <c r="G249" s="26">
        <f t="shared" si="10"/>
        <v>0</v>
      </c>
      <c r="H249" s="20">
        <f>IFERROR(VLOOKUP(D249,PRODUCTOS!$B:$O,14,0),0)</f>
        <v>0</v>
      </c>
      <c r="I249" s="20">
        <f t="shared" si="11"/>
        <v>0</v>
      </c>
      <c r="J249" s="26">
        <f t="shared" si="12"/>
        <v>0</v>
      </c>
      <c r="K249" s="30">
        <f t="shared" si="13"/>
        <v>0</v>
      </c>
      <c r="L249" s="17"/>
      <c r="M249" s="20">
        <f t="shared" si="14"/>
        <v>0</v>
      </c>
      <c r="N249" s="17"/>
      <c r="AO249" s="17"/>
      <c r="AP249" s="33"/>
    </row>
    <row r="250" spans="1:42">
      <c r="A250" s="17"/>
      <c r="B250" s="16"/>
      <c r="C250" s="17"/>
      <c r="D250" s="17"/>
      <c r="E250" s="17"/>
      <c r="F250" s="25"/>
      <c r="G250" s="26">
        <f t="shared" si="10"/>
        <v>0</v>
      </c>
      <c r="H250" s="20">
        <f>IFERROR(VLOOKUP(D250,PRODUCTOS!$B:$O,14,0),0)</f>
        <v>0</v>
      </c>
      <c r="I250" s="20">
        <f t="shared" si="11"/>
        <v>0</v>
      </c>
      <c r="J250" s="26">
        <f t="shared" si="12"/>
        <v>0</v>
      </c>
      <c r="K250" s="30">
        <f t="shared" si="13"/>
        <v>0</v>
      </c>
      <c r="L250" s="17"/>
      <c r="M250" s="20">
        <f t="shared" si="14"/>
        <v>0</v>
      </c>
      <c r="N250" s="17"/>
      <c r="AO250" s="17"/>
      <c r="AP250" s="33"/>
    </row>
    <row r="251" spans="1:42">
      <c r="A251" s="17"/>
      <c r="B251" s="16"/>
      <c r="C251" s="17"/>
      <c r="D251" s="17"/>
      <c r="E251" s="17"/>
      <c r="F251" s="25"/>
      <c r="G251" s="26">
        <f t="shared" si="10"/>
        <v>0</v>
      </c>
      <c r="H251" s="20">
        <f>IFERROR(VLOOKUP(D251,PRODUCTOS!$B:$O,14,0),0)</f>
        <v>0</v>
      </c>
      <c r="I251" s="20">
        <f t="shared" si="11"/>
        <v>0</v>
      </c>
      <c r="J251" s="26">
        <f t="shared" si="12"/>
        <v>0</v>
      </c>
      <c r="K251" s="30">
        <f t="shared" si="13"/>
        <v>0</v>
      </c>
      <c r="L251" s="17"/>
      <c r="M251" s="20">
        <f t="shared" si="14"/>
        <v>0</v>
      </c>
      <c r="N251" s="17"/>
      <c r="AO251" s="17"/>
      <c r="AP251" s="33"/>
    </row>
    <row r="252" spans="1:42">
      <c r="A252" s="17"/>
      <c r="B252" s="16"/>
      <c r="C252" s="17"/>
      <c r="D252" s="17"/>
      <c r="E252" s="17"/>
      <c r="F252" s="25"/>
      <c r="G252" s="26">
        <f t="shared" si="10"/>
        <v>0</v>
      </c>
      <c r="H252" s="20">
        <f>IFERROR(VLOOKUP(D252,PRODUCTOS!$B:$O,14,0),0)</f>
        <v>0</v>
      </c>
      <c r="I252" s="20">
        <f t="shared" si="11"/>
        <v>0</v>
      </c>
      <c r="J252" s="26">
        <f t="shared" si="12"/>
        <v>0</v>
      </c>
      <c r="K252" s="30">
        <f t="shared" si="13"/>
        <v>0</v>
      </c>
      <c r="L252" s="17"/>
      <c r="M252" s="20">
        <f t="shared" si="14"/>
        <v>0</v>
      </c>
      <c r="N252" s="17"/>
      <c r="AO252" s="17"/>
      <c r="AP252" s="33"/>
    </row>
    <row r="253" spans="1:42">
      <c r="A253" s="17"/>
      <c r="B253" s="16"/>
      <c r="C253" s="17"/>
      <c r="D253" s="17"/>
      <c r="E253" s="17"/>
      <c r="F253" s="25"/>
      <c r="G253" s="26">
        <f t="shared" si="10"/>
        <v>0</v>
      </c>
      <c r="H253" s="20">
        <f>IFERROR(VLOOKUP(D253,PRODUCTOS!$B:$O,14,0),0)</f>
        <v>0</v>
      </c>
      <c r="I253" s="20">
        <f t="shared" si="11"/>
        <v>0</v>
      </c>
      <c r="J253" s="26">
        <f t="shared" si="12"/>
        <v>0</v>
      </c>
      <c r="K253" s="30">
        <f t="shared" si="13"/>
        <v>0</v>
      </c>
      <c r="L253" s="17"/>
      <c r="M253" s="20">
        <f t="shared" si="14"/>
        <v>0</v>
      </c>
      <c r="N253" s="17"/>
      <c r="AO253" s="17"/>
      <c r="AP253" s="33"/>
    </row>
    <row r="254" spans="1:42">
      <c r="A254" s="17"/>
      <c r="B254" s="16"/>
      <c r="C254" s="17"/>
      <c r="D254" s="17"/>
      <c r="E254" s="17"/>
      <c r="F254" s="25"/>
      <c r="G254" s="26">
        <f t="shared" si="10"/>
        <v>0</v>
      </c>
      <c r="H254" s="20">
        <f>IFERROR(VLOOKUP(D254,PRODUCTOS!$B:$O,14,0),0)</f>
        <v>0</v>
      </c>
      <c r="I254" s="20">
        <f t="shared" si="11"/>
        <v>0</v>
      </c>
      <c r="J254" s="26">
        <f t="shared" si="12"/>
        <v>0</v>
      </c>
      <c r="K254" s="30">
        <f t="shared" si="13"/>
        <v>0</v>
      </c>
      <c r="L254" s="17"/>
      <c r="M254" s="20">
        <f t="shared" si="14"/>
        <v>0</v>
      </c>
      <c r="N254" s="17"/>
      <c r="AO254" s="17"/>
      <c r="AP254" s="33"/>
    </row>
    <row r="255" spans="1:42">
      <c r="A255" s="17"/>
      <c r="B255" s="16"/>
      <c r="C255" s="17"/>
      <c r="D255" s="17"/>
      <c r="E255" s="17"/>
      <c r="F255" s="25"/>
      <c r="G255" s="26">
        <f t="shared" si="10"/>
        <v>0</v>
      </c>
      <c r="H255" s="20">
        <f>IFERROR(VLOOKUP(D255,PRODUCTOS!$B:$O,14,0),0)</f>
        <v>0</v>
      </c>
      <c r="I255" s="20">
        <f t="shared" si="11"/>
        <v>0</v>
      </c>
      <c r="J255" s="26">
        <f t="shared" si="12"/>
        <v>0</v>
      </c>
      <c r="K255" s="30">
        <f t="shared" si="13"/>
        <v>0</v>
      </c>
      <c r="L255" s="17"/>
      <c r="M255" s="20">
        <f t="shared" si="14"/>
        <v>0</v>
      </c>
      <c r="N255" s="17"/>
      <c r="AO255" s="17"/>
      <c r="AP255" s="33"/>
    </row>
    <row r="256" spans="1:42">
      <c r="A256" s="17"/>
      <c r="B256" s="16"/>
      <c r="C256" s="17"/>
      <c r="D256" s="17"/>
      <c r="E256" s="17"/>
      <c r="F256" s="25"/>
      <c r="G256" s="26">
        <f t="shared" si="10"/>
        <v>0</v>
      </c>
      <c r="H256" s="20">
        <f>IFERROR(VLOOKUP(D256,PRODUCTOS!$B:$O,14,0),0)</f>
        <v>0</v>
      </c>
      <c r="I256" s="20">
        <f t="shared" si="11"/>
        <v>0</v>
      </c>
      <c r="J256" s="26">
        <f t="shared" si="12"/>
        <v>0</v>
      </c>
      <c r="K256" s="30">
        <f t="shared" si="13"/>
        <v>0</v>
      </c>
      <c r="L256" s="17"/>
      <c r="M256" s="20">
        <f t="shared" si="14"/>
        <v>0</v>
      </c>
      <c r="N256" s="17"/>
      <c r="AO256" s="17"/>
      <c r="AP256" s="33"/>
    </row>
    <row r="257" spans="1:42">
      <c r="A257" s="17"/>
      <c r="B257" s="16"/>
      <c r="C257" s="17"/>
      <c r="D257" s="17"/>
      <c r="E257" s="17"/>
      <c r="F257" s="25"/>
      <c r="G257" s="26">
        <f t="shared" si="10"/>
        <v>0</v>
      </c>
      <c r="H257" s="20">
        <f>IFERROR(VLOOKUP(D257,PRODUCTOS!$B:$O,14,0),0)</f>
        <v>0</v>
      </c>
      <c r="I257" s="20">
        <f t="shared" si="11"/>
        <v>0</v>
      </c>
      <c r="J257" s="26">
        <f t="shared" si="12"/>
        <v>0</v>
      </c>
      <c r="K257" s="30">
        <f t="shared" si="13"/>
        <v>0</v>
      </c>
      <c r="L257" s="17"/>
      <c r="M257" s="20">
        <f t="shared" si="14"/>
        <v>0</v>
      </c>
      <c r="N257" s="17"/>
      <c r="AO257" s="17"/>
      <c r="AP257" s="33"/>
    </row>
    <row r="258" spans="1:42">
      <c r="A258" s="17"/>
      <c r="B258" s="16"/>
      <c r="C258" s="17"/>
      <c r="D258" s="17"/>
      <c r="E258" s="17"/>
      <c r="F258" s="25"/>
      <c r="G258" s="26">
        <f t="shared" si="10"/>
        <v>0</v>
      </c>
      <c r="H258" s="20">
        <f>IFERROR(VLOOKUP(D258,PRODUCTOS!$B:$O,14,0),0)</f>
        <v>0</v>
      </c>
      <c r="I258" s="20">
        <f t="shared" si="11"/>
        <v>0</v>
      </c>
      <c r="J258" s="26">
        <f t="shared" si="12"/>
        <v>0</v>
      </c>
      <c r="K258" s="30">
        <f t="shared" si="13"/>
        <v>0</v>
      </c>
      <c r="L258" s="17"/>
      <c r="M258" s="20">
        <f t="shared" si="14"/>
        <v>0</v>
      </c>
      <c r="N258" s="17"/>
      <c r="AO258" s="17"/>
      <c r="AP258" s="33"/>
    </row>
    <row r="259" spans="1:42">
      <c r="A259" s="17"/>
      <c r="B259" s="16"/>
      <c r="C259" s="17"/>
      <c r="D259" s="17"/>
      <c r="E259" s="17"/>
      <c r="F259" s="25"/>
      <c r="G259" s="26">
        <f t="shared" si="10"/>
        <v>0</v>
      </c>
      <c r="H259" s="20">
        <f>IFERROR(VLOOKUP(D259,PRODUCTOS!$B:$O,14,0),0)</f>
        <v>0</v>
      </c>
      <c r="I259" s="20">
        <f t="shared" si="11"/>
        <v>0</v>
      </c>
      <c r="J259" s="26">
        <f t="shared" si="12"/>
        <v>0</v>
      </c>
      <c r="K259" s="30">
        <f t="shared" si="13"/>
        <v>0</v>
      </c>
      <c r="L259" s="17"/>
      <c r="M259" s="20">
        <f t="shared" si="14"/>
        <v>0</v>
      </c>
      <c r="N259" s="17"/>
      <c r="AO259" s="17"/>
      <c r="AP259" s="33"/>
    </row>
    <row r="260" spans="1:42">
      <c r="A260" s="17"/>
      <c r="B260" s="16"/>
      <c r="C260" s="17"/>
      <c r="D260" s="17"/>
      <c r="E260" s="17"/>
      <c r="F260" s="25"/>
      <c r="G260" s="26">
        <f t="shared" si="10"/>
        <v>0</v>
      </c>
      <c r="H260" s="20">
        <f>IFERROR(VLOOKUP(D260,PRODUCTOS!$B:$O,14,0),0)</f>
        <v>0</v>
      </c>
      <c r="I260" s="20">
        <f t="shared" si="11"/>
        <v>0</v>
      </c>
      <c r="J260" s="26">
        <f t="shared" si="12"/>
        <v>0</v>
      </c>
      <c r="K260" s="30">
        <f t="shared" si="13"/>
        <v>0</v>
      </c>
      <c r="L260" s="17"/>
      <c r="M260" s="20">
        <f t="shared" si="14"/>
        <v>0</v>
      </c>
      <c r="N260" s="17"/>
      <c r="AO260" s="17"/>
      <c r="AP260" s="33"/>
    </row>
    <row r="261" spans="1:42">
      <c r="A261" s="17"/>
      <c r="B261" s="16"/>
      <c r="C261" s="17"/>
      <c r="D261" s="17"/>
      <c r="E261" s="17"/>
      <c r="F261" s="25"/>
      <c r="G261" s="26">
        <f t="shared" si="10"/>
        <v>0</v>
      </c>
      <c r="H261" s="20">
        <f>IFERROR(VLOOKUP(D261,PRODUCTOS!$B:$O,14,0),0)</f>
        <v>0</v>
      </c>
      <c r="I261" s="20">
        <f t="shared" si="11"/>
        <v>0</v>
      </c>
      <c r="J261" s="26">
        <f t="shared" si="12"/>
        <v>0</v>
      </c>
      <c r="K261" s="30">
        <f t="shared" si="13"/>
        <v>0</v>
      </c>
      <c r="L261" s="17"/>
      <c r="M261" s="20">
        <f t="shared" si="14"/>
        <v>0</v>
      </c>
      <c r="N261" s="17"/>
      <c r="AO261" s="17"/>
      <c r="AP261" s="33"/>
    </row>
    <row r="262" spans="1:42">
      <c r="A262" s="17"/>
      <c r="B262" s="16"/>
      <c r="C262" s="17"/>
      <c r="D262" s="17"/>
      <c r="E262" s="17"/>
      <c r="F262" s="25"/>
      <c r="G262" s="26">
        <f t="shared" si="10"/>
        <v>0</v>
      </c>
      <c r="H262" s="20">
        <f>IFERROR(VLOOKUP(D262,PRODUCTOS!$B:$O,14,0),0)</f>
        <v>0</v>
      </c>
      <c r="I262" s="20">
        <f t="shared" si="11"/>
        <v>0</v>
      </c>
      <c r="J262" s="26">
        <f t="shared" si="12"/>
        <v>0</v>
      </c>
      <c r="K262" s="30">
        <f t="shared" si="13"/>
        <v>0</v>
      </c>
      <c r="L262" s="17"/>
      <c r="M262" s="20">
        <f t="shared" si="14"/>
        <v>0</v>
      </c>
      <c r="N262" s="17"/>
      <c r="AO262" s="17"/>
      <c r="AP262" s="33"/>
    </row>
    <row r="263" spans="1:42">
      <c r="A263" s="17"/>
      <c r="B263" s="16"/>
      <c r="C263" s="17"/>
      <c r="D263" s="17"/>
      <c r="E263" s="17"/>
      <c r="F263" s="25"/>
      <c r="G263" s="26">
        <f t="shared" si="10"/>
        <v>0</v>
      </c>
      <c r="H263" s="20">
        <f>IFERROR(VLOOKUP(D263,PRODUCTOS!$B:$O,14,0),0)</f>
        <v>0</v>
      </c>
      <c r="I263" s="20">
        <f t="shared" si="11"/>
        <v>0</v>
      </c>
      <c r="J263" s="26">
        <f t="shared" si="12"/>
        <v>0</v>
      </c>
      <c r="K263" s="30">
        <f t="shared" si="13"/>
        <v>0</v>
      </c>
      <c r="L263" s="17"/>
      <c r="M263" s="20">
        <f t="shared" si="14"/>
        <v>0</v>
      </c>
      <c r="N263" s="17"/>
      <c r="AO263" s="17"/>
      <c r="AP263" s="33"/>
    </row>
    <row r="264" spans="1:42">
      <c r="A264" s="17"/>
      <c r="B264" s="16"/>
      <c r="C264" s="17"/>
      <c r="D264" s="17"/>
      <c r="E264" s="17"/>
      <c r="F264" s="25"/>
      <c r="G264" s="26">
        <f t="shared" si="10"/>
        <v>0</v>
      </c>
      <c r="H264" s="20">
        <f>IFERROR(VLOOKUP(D264,PRODUCTOS!$B:$O,14,0),0)</f>
        <v>0</v>
      </c>
      <c r="I264" s="20">
        <f t="shared" si="11"/>
        <v>0</v>
      </c>
      <c r="J264" s="26">
        <f t="shared" si="12"/>
        <v>0</v>
      </c>
      <c r="K264" s="30">
        <f t="shared" si="13"/>
        <v>0</v>
      </c>
      <c r="L264" s="17"/>
      <c r="M264" s="20">
        <f t="shared" si="14"/>
        <v>0</v>
      </c>
      <c r="N264" s="17"/>
      <c r="AO264" s="17"/>
      <c r="AP264" s="33"/>
    </row>
    <row r="265" spans="1:42">
      <c r="A265" s="17"/>
      <c r="B265" s="16"/>
      <c r="C265" s="17"/>
      <c r="D265" s="17"/>
      <c r="E265" s="17"/>
      <c r="F265" s="25"/>
      <c r="G265" s="26">
        <f t="shared" si="10"/>
        <v>0</v>
      </c>
      <c r="H265" s="20">
        <f>IFERROR(VLOOKUP(D265,PRODUCTOS!$B:$O,14,0),0)</f>
        <v>0</v>
      </c>
      <c r="I265" s="20">
        <f t="shared" si="11"/>
        <v>0</v>
      </c>
      <c r="J265" s="26">
        <f t="shared" si="12"/>
        <v>0</v>
      </c>
      <c r="K265" s="30">
        <f t="shared" si="13"/>
        <v>0</v>
      </c>
      <c r="L265" s="17"/>
      <c r="M265" s="20">
        <f t="shared" si="14"/>
        <v>0</v>
      </c>
      <c r="N265" s="17"/>
      <c r="AO265" s="17"/>
      <c r="AP265" s="33"/>
    </row>
    <row r="266" spans="1:42">
      <c r="A266" s="17"/>
      <c r="B266" s="16"/>
      <c r="C266" s="17"/>
      <c r="D266" s="17"/>
      <c r="E266" s="17"/>
      <c r="F266" s="25"/>
      <c r="G266" s="26">
        <f t="shared" si="10"/>
        <v>0</v>
      </c>
      <c r="H266" s="20">
        <f>IFERROR(VLOOKUP(D266,PRODUCTOS!$B:$O,14,0),0)</f>
        <v>0</v>
      </c>
      <c r="I266" s="20">
        <f t="shared" si="11"/>
        <v>0</v>
      </c>
      <c r="J266" s="26">
        <f t="shared" si="12"/>
        <v>0</v>
      </c>
      <c r="K266" s="30">
        <f t="shared" si="13"/>
        <v>0</v>
      </c>
      <c r="L266" s="17"/>
      <c r="M266" s="20">
        <f t="shared" si="14"/>
        <v>0</v>
      </c>
      <c r="N266" s="17"/>
      <c r="AO266" s="17"/>
      <c r="AP266" s="33"/>
    </row>
    <row r="267" spans="1:42">
      <c r="A267" s="17"/>
      <c r="B267" s="16"/>
      <c r="C267" s="17"/>
      <c r="D267" s="17"/>
      <c r="E267" s="17"/>
      <c r="F267" s="25"/>
      <c r="G267" s="26">
        <f t="shared" si="10"/>
        <v>0</v>
      </c>
      <c r="H267" s="20">
        <f>IFERROR(VLOOKUP(D267,PRODUCTOS!$B:$O,14,0),0)</f>
        <v>0</v>
      </c>
      <c r="I267" s="20">
        <f t="shared" si="11"/>
        <v>0</v>
      </c>
      <c r="J267" s="26">
        <f t="shared" si="12"/>
        <v>0</v>
      </c>
      <c r="K267" s="30">
        <f t="shared" si="13"/>
        <v>0</v>
      </c>
      <c r="L267" s="17"/>
      <c r="M267" s="20">
        <f t="shared" si="14"/>
        <v>0</v>
      </c>
      <c r="N267" s="17"/>
      <c r="AO267" s="17"/>
      <c r="AP267" s="33"/>
    </row>
    <row r="268" spans="1:42">
      <c r="A268" s="17"/>
      <c r="B268" s="16"/>
      <c r="C268" s="17"/>
      <c r="D268" s="17"/>
      <c r="E268" s="17"/>
      <c r="F268" s="25"/>
      <c r="G268" s="26">
        <f t="shared" si="10"/>
        <v>0</v>
      </c>
      <c r="H268" s="20">
        <f>IFERROR(VLOOKUP(D268,PRODUCTOS!$B:$O,14,0),0)</f>
        <v>0</v>
      </c>
      <c r="I268" s="20">
        <f t="shared" si="11"/>
        <v>0</v>
      </c>
      <c r="J268" s="26">
        <f t="shared" si="12"/>
        <v>0</v>
      </c>
      <c r="K268" s="30">
        <f t="shared" si="13"/>
        <v>0</v>
      </c>
      <c r="L268" s="17"/>
      <c r="M268" s="20">
        <f t="shared" si="14"/>
        <v>0</v>
      </c>
      <c r="N268" s="17"/>
      <c r="AO268" s="17"/>
      <c r="AP268" s="33"/>
    </row>
    <row r="269" spans="1:42">
      <c r="A269" s="17"/>
      <c r="B269" s="16"/>
      <c r="C269" s="17"/>
      <c r="D269" s="17"/>
      <c r="E269" s="17"/>
      <c r="F269" s="25"/>
      <c r="G269" s="26">
        <f t="shared" si="10"/>
        <v>0</v>
      </c>
      <c r="H269" s="20">
        <f>IFERROR(VLOOKUP(D269,PRODUCTOS!$B:$O,14,0),0)</f>
        <v>0</v>
      </c>
      <c r="I269" s="20">
        <f t="shared" si="11"/>
        <v>0</v>
      </c>
      <c r="J269" s="26">
        <f t="shared" si="12"/>
        <v>0</v>
      </c>
      <c r="K269" s="30">
        <f t="shared" si="13"/>
        <v>0</v>
      </c>
      <c r="L269" s="17"/>
      <c r="M269" s="20">
        <f t="shared" si="14"/>
        <v>0</v>
      </c>
      <c r="N269" s="17"/>
      <c r="AO269" s="17"/>
      <c r="AP269" s="33"/>
    </row>
    <row r="270" spans="1:42">
      <c r="A270" s="17"/>
      <c r="B270" s="16"/>
      <c r="C270" s="17"/>
      <c r="D270" s="17"/>
      <c r="E270" s="17"/>
      <c r="F270" s="25"/>
      <c r="G270" s="26">
        <f t="shared" si="10"/>
        <v>0</v>
      </c>
      <c r="H270" s="20">
        <f>IFERROR(VLOOKUP(D270,PRODUCTOS!$B:$O,14,0),0)</f>
        <v>0</v>
      </c>
      <c r="I270" s="20">
        <f t="shared" si="11"/>
        <v>0</v>
      </c>
      <c r="J270" s="26">
        <f t="shared" si="12"/>
        <v>0</v>
      </c>
      <c r="K270" s="30">
        <f t="shared" si="13"/>
        <v>0</v>
      </c>
      <c r="L270" s="17"/>
      <c r="M270" s="20">
        <f t="shared" si="14"/>
        <v>0</v>
      </c>
      <c r="N270" s="17"/>
      <c r="AO270" s="17"/>
      <c r="AP270" s="33"/>
    </row>
    <row r="271" spans="1:42">
      <c r="A271" s="17"/>
      <c r="B271" s="16"/>
      <c r="C271" s="17"/>
      <c r="D271" s="17"/>
      <c r="E271" s="17"/>
      <c r="F271" s="25"/>
      <c r="G271" s="26">
        <f t="shared" si="10"/>
        <v>0</v>
      </c>
      <c r="H271" s="20">
        <f>IFERROR(VLOOKUP(D271,PRODUCTOS!$B:$O,14,0),0)</f>
        <v>0</v>
      </c>
      <c r="I271" s="20">
        <f t="shared" si="11"/>
        <v>0</v>
      </c>
      <c r="J271" s="26">
        <f t="shared" si="12"/>
        <v>0</v>
      </c>
      <c r="K271" s="30">
        <f t="shared" si="13"/>
        <v>0</v>
      </c>
      <c r="L271" s="17"/>
      <c r="M271" s="20">
        <f t="shared" si="14"/>
        <v>0</v>
      </c>
      <c r="N271" s="17"/>
      <c r="AO271" s="17"/>
      <c r="AP271" s="33"/>
    </row>
    <row r="272" spans="1:42">
      <c r="A272" s="17"/>
      <c r="B272" s="16"/>
      <c r="C272" s="17"/>
      <c r="D272" s="17"/>
      <c r="E272" s="17"/>
      <c r="F272" s="25"/>
      <c r="G272" s="26">
        <f t="shared" si="10"/>
        <v>0</v>
      </c>
      <c r="H272" s="20">
        <f>IFERROR(VLOOKUP(D272,PRODUCTOS!$B:$O,14,0),0)</f>
        <v>0</v>
      </c>
      <c r="I272" s="20">
        <f t="shared" si="11"/>
        <v>0</v>
      </c>
      <c r="J272" s="26">
        <f t="shared" si="12"/>
        <v>0</v>
      </c>
      <c r="K272" s="30">
        <f t="shared" si="13"/>
        <v>0</v>
      </c>
      <c r="L272" s="17"/>
      <c r="M272" s="20">
        <f t="shared" si="14"/>
        <v>0</v>
      </c>
      <c r="N272" s="17"/>
      <c r="AO272" s="17"/>
      <c r="AP272" s="33"/>
    </row>
    <row r="273" spans="1:42">
      <c r="A273" s="17"/>
      <c r="B273" s="16"/>
      <c r="C273" s="17"/>
      <c r="D273" s="17"/>
      <c r="E273" s="17"/>
      <c r="F273" s="25"/>
      <c r="G273" s="26">
        <f t="shared" si="10"/>
        <v>0</v>
      </c>
      <c r="H273" s="20">
        <f>IFERROR(VLOOKUP(D273,PRODUCTOS!$B:$O,14,0),0)</f>
        <v>0</v>
      </c>
      <c r="I273" s="20">
        <f t="shared" si="11"/>
        <v>0</v>
      </c>
      <c r="J273" s="26">
        <f t="shared" si="12"/>
        <v>0</v>
      </c>
      <c r="K273" s="30">
        <f t="shared" si="13"/>
        <v>0</v>
      </c>
      <c r="L273" s="17"/>
      <c r="M273" s="20">
        <f t="shared" si="14"/>
        <v>0</v>
      </c>
      <c r="N273" s="17"/>
      <c r="AO273" s="17"/>
      <c r="AP273" s="33"/>
    </row>
    <row r="274" spans="1:42">
      <c r="A274" s="17"/>
      <c r="B274" s="16"/>
      <c r="C274" s="17"/>
      <c r="D274" s="17"/>
      <c r="E274" s="17"/>
      <c r="F274" s="25"/>
      <c r="G274" s="26">
        <f t="shared" si="10"/>
        <v>0</v>
      </c>
      <c r="H274" s="20">
        <f>IFERROR(VLOOKUP(D274,PRODUCTOS!$B:$O,14,0),0)</f>
        <v>0</v>
      </c>
      <c r="I274" s="20">
        <f t="shared" si="11"/>
        <v>0</v>
      </c>
      <c r="J274" s="26">
        <f t="shared" si="12"/>
        <v>0</v>
      </c>
      <c r="K274" s="30">
        <f t="shared" si="13"/>
        <v>0</v>
      </c>
      <c r="L274" s="17"/>
      <c r="M274" s="20">
        <f t="shared" si="14"/>
        <v>0</v>
      </c>
      <c r="N274" s="17"/>
      <c r="AO274" s="17"/>
      <c r="AP274" s="33"/>
    </row>
    <row r="275" spans="1:42">
      <c r="A275" s="17"/>
      <c r="B275" s="16"/>
      <c r="C275" s="17"/>
      <c r="D275" s="17"/>
      <c r="E275" s="17"/>
      <c r="F275" s="25"/>
      <c r="G275" s="26">
        <f t="shared" si="10"/>
        <v>0</v>
      </c>
      <c r="H275" s="20">
        <f>IFERROR(VLOOKUP(D275,PRODUCTOS!$B:$O,14,0),0)</f>
        <v>0</v>
      </c>
      <c r="I275" s="20">
        <f t="shared" si="11"/>
        <v>0</v>
      </c>
      <c r="J275" s="26">
        <f t="shared" si="12"/>
        <v>0</v>
      </c>
      <c r="K275" s="30">
        <f t="shared" si="13"/>
        <v>0</v>
      </c>
      <c r="L275" s="17"/>
      <c r="M275" s="20">
        <f t="shared" si="14"/>
        <v>0</v>
      </c>
      <c r="N275" s="17"/>
      <c r="AO275" s="17"/>
      <c r="AP275" s="33"/>
    </row>
    <row r="276" spans="1:42">
      <c r="A276" s="17"/>
      <c r="B276" s="16"/>
      <c r="C276" s="17"/>
      <c r="D276" s="17"/>
      <c r="E276" s="17"/>
      <c r="F276" s="25"/>
      <c r="G276" s="26">
        <f t="shared" si="10"/>
        <v>0</v>
      </c>
      <c r="H276" s="20">
        <f>IFERROR(VLOOKUP(D276,PRODUCTOS!$B:$O,14,0),0)</f>
        <v>0</v>
      </c>
      <c r="I276" s="20">
        <f t="shared" si="11"/>
        <v>0</v>
      </c>
      <c r="J276" s="26">
        <f t="shared" si="12"/>
        <v>0</v>
      </c>
      <c r="K276" s="30">
        <f t="shared" si="13"/>
        <v>0</v>
      </c>
      <c r="L276" s="17"/>
      <c r="M276" s="20">
        <f t="shared" si="14"/>
        <v>0</v>
      </c>
      <c r="N276" s="17"/>
      <c r="AO276" s="17"/>
      <c r="AP276" s="33"/>
    </row>
    <row r="277" spans="1:42">
      <c r="A277" s="17"/>
      <c r="B277" s="16"/>
      <c r="C277" s="17"/>
      <c r="D277" s="17"/>
      <c r="E277" s="17"/>
      <c r="F277" s="25"/>
      <c r="G277" s="26">
        <f t="shared" si="10"/>
        <v>0</v>
      </c>
      <c r="H277" s="20">
        <f>IFERROR(VLOOKUP(D277,PRODUCTOS!$B:$O,14,0),0)</f>
        <v>0</v>
      </c>
      <c r="I277" s="20">
        <f t="shared" si="11"/>
        <v>0</v>
      </c>
      <c r="J277" s="26">
        <f t="shared" si="12"/>
        <v>0</v>
      </c>
      <c r="K277" s="30">
        <f t="shared" si="13"/>
        <v>0</v>
      </c>
      <c r="L277" s="17"/>
      <c r="M277" s="20">
        <f t="shared" si="14"/>
        <v>0</v>
      </c>
      <c r="N277" s="17"/>
      <c r="AO277" s="17"/>
      <c r="AP277" s="33"/>
    </row>
    <row r="278" spans="1:42">
      <c r="A278" s="17"/>
      <c r="B278" s="16"/>
      <c r="C278" s="17"/>
      <c r="D278" s="17"/>
      <c r="E278" s="17"/>
      <c r="F278" s="25"/>
      <c r="G278" s="26">
        <f t="shared" si="10"/>
        <v>0</v>
      </c>
      <c r="H278" s="20">
        <f>IFERROR(VLOOKUP(D278,PRODUCTOS!$B:$O,14,0),0)</f>
        <v>0</v>
      </c>
      <c r="I278" s="20">
        <f t="shared" si="11"/>
        <v>0</v>
      </c>
      <c r="J278" s="26">
        <f t="shared" si="12"/>
        <v>0</v>
      </c>
      <c r="K278" s="30">
        <f t="shared" si="13"/>
        <v>0</v>
      </c>
      <c r="L278" s="17"/>
      <c r="M278" s="20">
        <f t="shared" si="14"/>
        <v>0</v>
      </c>
      <c r="N278" s="17"/>
      <c r="AO278" s="17"/>
      <c r="AP278" s="33"/>
    </row>
    <row r="279" spans="1:42">
      <c r="A279" s="17"/>
      <c r="B279" s="16"/>
      <c r="C279" s="17"/>
      <c r="D279" s="17"/>
      <c r="E279" s="17"/>
      <c r="F279" s="25"/>
      <c r="G279" s="26">
        <f t="shared" si="10"/>
        <v>0</v>
      </c>
      <c r="H279" s="20">
        <f>IFERROR(VLOOKUP(D279,PRODUCTOS!$B:$O,14,0),0)</f>
        <v>0</v>
      </c>
      <c r="I279" s="20">
        <f t="shared" si="11"/>
        <v>0</v>
      </c>
      <c r="J279" s="26">
        <f t="shared" si="12"/>
        <v>0</v>
      </c>
      <c r="K279" s="30">
        <f t="shared" si="13"/>
        <v>0</v>
      </c>
      <c r="L279" s="17"/>
      <c r="M279" s="20">
        <f t="shared" si="14"/>
        <v>0</v>
      </c>
      <c r="N279" s="17"/>
      <c r="AO279" s="17"/>
      <c r="AP279" s="33"/>
    </row>
    <row r="280" spans="1:42">
      <c r="A280" s="17"/>
      <c r="B280" s="16"/>
      <c r="C280" s="17"/>
      <c r="D280" s="17"/>
      <c r="E280" s="17"/>
      <c r="F280" s="25"/>
      <c r="G280" s="26">
        <f t="shared" si="10"/>
        <v>0</v>
      </c>
      <c r="H280" s="20">
        <f>IFERROR(VLOOKUP(D280,PRODUCTOS!$B:$O,14,0),0)</f>
        <v>0</v>
      </c>
      <c r="I280" s="20">
        <f t="shared" si="11"/>
        <v>0</v>
      </c>
      <c r="J280" s="26">
        <f t="shared" si="12"/>
        <v>0</v>
      </c>
      <c r="K280" s="30">
        <f t="shared" si="13"/>
        <v>0</v>
      </c>
      <c r="L280" s="17"/>
      <c r="M280" s="20">
        <f t="shared" si="14"/>
        <v>0</v>
      </c>
      <c r="N280" s="17"/>
      <c r="AO280" s="17"/>
      <c r="AP280" s="33"/>
    </row>
    <row r="281" spans="1:42">
      <c r="A281" s="17"/>
      <c r="B281" s="16"/>
      <c r="C281" s="17"/>
      <c r="D281" s="17"/>
      <c r="E281" s="17"/>
      <c r="F281" s="25"/>
      <c r="G281" s="26">
        <f t="shared" si="10"/>
        <v>0</v>
      </c>
      <c r="H281" s="20">
        <f>IFERROR(VLOOKUP(D281,PRODUCTOS!$B:$O,14,0),0)</f>
        <v>0</v>
      </c>
      <c r="I281" s="20">
        <f t="shared" si="11"/>
        <v>0</v>
      </c>
      <c r="J281" s="26">
        <f t="shared" si="12"/>
        <v>0</v>
      </c>
      <c r="K281" s="30">
        <f t="shared" si="13"/>
        <v>0</v>
      </c>
      <c r="L281" s="17"/>
      <c r="M281" s="20">
        <f t="shared" si="14"/>
        <v>0</v>
      </c>
      <c r="N281" s="17"/>
      <c r="AO281" s="17"/>
      <c r="AP281" s="33"/>
    </row>
    <row r="282" spans="1:42">
      <c r="A282" s="17"/>
      <c r="B282" s="16"/>
      <c r="C282" s="17"/>
      <c r="D282" s="17"/>
      <c r="E282" s="17"/>
      <c r="F282" s="25"/>
      <c r="G282" s="26">
        <f t="shared" si="10"/>
        <v>0</v>
      </c>
      <c r="H282" s="20">
        <f>IFERROR(VLOOKUP(D282,PRODUCTOS!$B:$O,14,0),0)</f>
        <v>0</v>
      </c>
      <c r="I282" s="20">
        <f t="shared" si="11"/>
        <v>0</v>
      </c>
      <c r="J282" s="26">
        <f t="shared" si="12"/>
        <v>0</v>
      </c>
      <c r="K282" s="30">
        <f t="shared" si="13"/>
        <v>0</v>
      </c>
      <c r="L282" s="17"/>
      <c r="M282" s="20">
        <f t="shared" si="14"/>
        <v>0</v>
      </c>
      <c r="N282" s="17"/>
      <c r="AO282" s="17"/>
      <c r="AP282" s="33"/>
    </row>
    <row r="283" spans="1:42">
      <c r="A283" s="17"/>
      <c r="B283" s="16"/>
      <c r="C283" s="17"/>
      <c r="D283" s="17"/>
      <c r="E283" s="17"/>
      <c r="F283" s="25"/>
      <c r="G283" s="26">
        <f t="shared" si="10"/>
        <v>0</v>
      </c>
      <c r="H283" s="20">
        <f>IFERROR(VLOOKUP(D283,PRODUCTOS!$B:$O,14,0),0)</f>
        <v>0</v>
      </c>
      <c r="I283" s="20">
        <f t="shared" si="11"/>
        <v>0</v>
      </c>
      <c r="J283" s="26">
        <f t="shared" si="12"/>
        <v>0</v>
      </c>
      <c r="K283" s="30">
        <f t="shared" si="13"/>
        <v>0</v>
      </c>
      <c r="L283" s="17"/>
      <c r="M283" s="20">
        <f t="shared" si="14"/>
        <v>0</v>
      </c>
      <c r="N283" s="17"/>
      <c r="AO283" s="17"/>
      <c r="AP283" s="33"/>
    </row>
    <row r="284" spans="1:42">
      <c r="A284" s="17"/>
      <c r="B284" s="16"/>
      <c r="C284" s="17"/>
      <c r="D284" s="17"/>
      <c r="E284" s="17"/>
      <c r="F284" s="25"/>
      <c r="G284" s="26">
        <f t="shared" si="10"/>
        <v>0</v>
      </c>
      <c r="H284" s="20">
        <f>IFERROR(VLOOKUP(D284,PRODUCTOS!$B:$O,14,0),0)</f>
        <v>0</v>
      </c>
      <c r="I284" s="20">
        <f t="shared" si="11"/>
        <v>0</v>
      </c>
      <c r="J284" s="26">
        <f t="shared" si="12"/>
        <v>0</v>
      </c>
      <c r="K284" s="30">
        <f t="shared" si="13"/>
        <v>0</v>
      </c>
      <c r="L284" s="17"/>
      <c r="M284" s="20">
        <f t="shared" si="14"/>
        <v>0</v>
      </c>
      <c r="N284" s="17"/>
      <c r="AO284" s="17"/>
      <c r="AP284" s="33"/>
    </row>
    <row r="285" spans="1:42">
      <c r="A285" s="17"/>
      <c r="B285" s="16"/>
      <c r="C285" s="17"/>
      <c r="D285" s="17"/>
      <c r="E285" s="17"/>
      <c r="F285" s="25"/>
      <c r="G285" s="26">
        <f t="shared" si="10"/>
        <v>0</v>
      </c>
      <c r="H285" s="20">
        <f>IFERROR(VLOOKUP(D285,PRODUCTOS!$B:$O,14,0),0)</f>
        <v>0</v>
      </c>
      <c r="I285" s="20">
        <f t="shared" si="11"/>
        <v>0</v>
      </c>
      <c r="J285" s="26">
        <f t="shared" si="12"/>
        <v>0</v>
      </c>
      <c r="K285" s="30">
        <f t="shared" si="13"/>
        <v>0</v>
      </c>
      <c r="L285" s="17"/>
      <c r="M285" s="20">
        <f t="shared" si="14"/>
        <v>0</v>
      </c>
      <c r="N285" s="17"/>
      <c r="AO285" s="17"/>
      <c r="AP285" s="33"/>
    </row>
    <row r="286" spans="1:42">
      <c r="A286" s="17"/>
      <c r="B286" s="16"/>
      <c r="C286" s="17"/>
      <c r="D286" s="17"/>
      <c r="E286" s="17"/>
      <c r="F286" s="25"/>
      <c r="G286" s="26">
        <f t="shared" si="10"/>
        <v>0</v>
      </c>
      <c r="H286" s="20">
        <f>IFERROR(VLOOKUP(D286,PRODUCTOS!$B:$O,14,0),0)</f>
        <v>0</v>
      </c>
      <c r="I286" s="20">
        <f t="shared" si="11"/>
        <v>0</v>
      </c>
      <c r="J286" s="26">
        <f t="shared" si="12"/>
        <v>0</v>
      </c>
      <c r="K286" s="30">
        <f t="shared" si="13"/>
        <v>0</v>
      </c>
      <c r="L286" s="17"/>
      <c r="M286" s="20">
        <f t="shared" si="14"/>
        <v>0</v>
      </c>
      <c r="N286" s="17"/>
      <c r="AO286" s="17"/>
      <c r="AP286" s="33"/>
    </row>
    <row r="287" spans="1:42">
      <c r="A287" s="17"/>
      <c r="B287" s="16"/>
      <c r="C287" s="17"/>
      <c r="D287" s="17"/>
      <c r="E287" s="17"/>
      <c r="F287" s="25"/>
      <c r="G287" s="26">
        <f t="shared" si="10"/>
        <v>0</v>
      </c>
      <c r="H287" s="20">
        <f>IFERROR(VLOOKUP(D287,PRODUCTOS!$B:$O,14,0),0)</f>
        <v>0</v>
      </c>
      <c r="I287" s="20">
        <f t="shared" si="11"/>
        <v>0</v>
      </c>
      <c r="J287" s="26">
        <f t="shared" si="12"/>
        <v>0</v>
      </c>
      <c r="K287" s="30">
        <f t="shared" si="13"/>
        <v>0</v>
      </c>
      <c r="L287" s="17"/>
      <c r="M287" s="20">
        <f t="shared" si="14"/>
        <v>0</v>
      </c>
      <c r="N287" s="17"/>
      <c r="AO287" s="17"/>
      <c r="AP287" s="33"/>
    </row>
    <row r="288" spans="1:42">
      <c r="A288" s="17"/>
      <c r="B288" s="16"/>
      <c r="C288" s="17"/>
      <c r="D288" s="17"/>
      <c r="E288" s="17"/>
      <c r="F288" s="25"/>
      <c r="G288" s="26">
        <f t="shared" si="10"/>
        <v>0</v>
      </c>
      <c r="H288" s="20">
        <f>IFERROR(VLOOKUP(D288,PRODUCTOS!$B:$O,14,0),0)</f>
        <v>0</v>
      </c>
      <c r="I288" s="20">
        <f t="shared" si="11"/>
        <v>0</v>
      </c>
      <c r="J288" s="26">
        <f t="shared" si="12"/>
        <v>0</v>
      </c>
      <c r="K288" s="30">
        <f t="shared" si="13"/>
        <v>0</v>
      </c>
      <c r="L288" s="17"/>
      <c r="M288" s="20">
        <f t="shared" si="14"/>
        <v>0</v>
      </c>
      <c r="N288" s="17"/>
      <c r="AO288" s="17"/>
      <c r="AP288" s="33"/>
    </row>
    <row r="289" spans="1:42">
      <c r="A289" s="17"/>
      <c r="B289" s="16"/>
      <c r="C289" s="17"/>
      <c r="D289" s="17"/>
      <c r="E289" s="17"/>
      <c r="F289" s="25"/>
      <c r="G289" s="26">
        <f t="shared" si="10"/>
        <v>0</v>
      </c>
      <c r="H289" s="20">
        <f>IFERROR(VLOOKUP(D289,PRODUCTOS!$B:$O,14,0),0)</f>
        <v>0</v>
      </c>
      <c r="I289" s="20">
        <f t="shared" si="11"/>
        <v>0</v>
      </c>
      <c r="J289" s="26">
        <f t="shared" si="12"/>
        <v>0</v>
      </c>
      <c r="K289" s="30">
        <f t="shared" si="13"/>
        <v>0</v>
      </c>
      <c r="L289" s="17"/>
      <c r="M289" s="20">
        <f t="shared" si="14"/>
        <v>0</v>
      </c>
      <c r="N289" s="17"/>
      <c r="AO289" s="17"/>
      <c r="AP289" s="33"/>
    </row>
    <row r="290" spans="1:42">
      <c r="A290" s="17"/>
      <c r="B290" s="16"/>
      <c r="C290" s="17"/>
      <c r="D290" s="17"/>
      <c r="E290" s="17"/>
      <c r="F290" s="25"/>
      <c r="G290" s="26">
        <f t="shared" si="10"/>
        <v>0</v>
      </c>
      <c r="H290" s="20">
        <f>IFERROR(VLOOKUP(D290,PRODUCTOS!$B:$O,14,0),0)</f>
        <v>0</v>
      </c>
      <c r="I290" s="20">
        <f t="shared" si="11"/>
        <v>0</v>
      </c>
      <c r="J290" s="26">
        <f t="shared" si="12"/>
        <v>0</v>
      </c>
      <c r="K290" s="30">
        <f t="shared" si="13"/>
        <v>0</v>
      </c>
      <c r="L290" s="17"/>
      <c r="M290" s="20">
        <f t="shared" si="14"/>
        <v>0</v>
      </c>
      <c r="N290" s="17"/>
      <c r="AO290" s="17"/>
      <c r="AP290" s="33"/>
    </row>
    <row r="291" spans="1:42">
      <c r="A291" s="17"/>
      <c r="B291" s="16"/>
      <c r="C291" s="17"/>
      <c r="D291" s="17"/>
      <c r="E291" s="17"/>
      <c r="F291" s="25"/>
      <c r="G291" s="26">
        <f t="shared" si="10"/>
        <v>0</v>
      </c>
      <c r="H291" s="20">
        <f>IFERROR(VLOOKUP(D291,PRODUCTOS!$B:$O,14,0),0)</f>
        <v>0</v>
      </c>
      <c r="I291" s="20">
        <f t="shared" si="11"/>
        <v>0</v>
      </c>
      <c r="J291" s="26">
        <f t="shared" si="12"/>
        <v>0</v>
      </c>
      <c r="K291" s="30">
        <f t="shared" si="13"/>
        <v>0</v>
      </c>
      <c r="L291" s="17"/>
      <c r="M291" s="20">
        <f t="shared" si="14"/>
        <v>0</v>
      </c>
      <c r="N291" s="17"/>
      <c r="AO291" s="17"/>
      <c r="AP291" s="33"/>
    </row>
    <row r="292" spans="1:42">
      <c r="A292" s="17"/>
      <c r="B292" s="16"/>
      <c r="C292" s="17"/>
      <c r="D292" s="17"/>
      <c r="E292" s="17"/>
      <c r="F292" s="25"/>
      <c r="G292" s="26">
        <f t="shared" si="10"/>
        <v>0</v>
      </c>
      <c r="H292" s="20">
        <f>IFERROR(VLOOKUP(D292,PRODUCTOS!$B:$O,14,0),0)</f>
        <v>0</v>
      </c>
      <c r="I292" s="20">
        <f t="shared" si="11"/>
        <v>0</v>
      </c>
      <c r="J292" s="26">
        <f t="shared" si="12"/>
        <v>0</v>
      </c>
      <c r="K292" s="30">
        <f t="shared" si="13"/>
        <v>0</v>
      </c>
      <c r="L292" s="17"/>
      <c r="M292" s="20">
        <f t="shared" si="14"/>
        <v>0</v>
      </c>
      <c r="N292" s="17"/>
      <c r="AO292" s="17"/>
      <c r="AP292" s="33"/>
    </row>
    <row r="293" spans="1:42">
      <c r="A293" s="17"/>
      <c r="B293" s="16"/>
      <c r="C293" s="17"/>
      <c r="D293" s="17"/>
      <c r="E293" s="17"/>
      <c r="F293" s="25"/>
      <c r="G293" s="26">
        <f t="shared" si="10"/>
        <v>0</v>
      </c>
      <c r="H293" s="20">
        <f>IFERROR(VLOOKUP(D293,PRODUCTOS!$B:$O,14,0),0)</f>
        <v>0</v>
      </c>
      <c r="I293" s="20">
        <f t="shared" si="11"/>
        <v>0</v>
      </c>
      <c r="J293" s="26">
        <f t="shared" si="12"/>
        <v>0</v>
      </c>
      <c r="K293" s="30">
        <f t="shared" si="13"/>
        <v>0</v>
      </c>
      <c r="L293" s="17"/>
      <c r="M293" s="20">
        <f t="shared" si="14"/>
        <v>0</v>
      </c>
      <c r="N293" s="17"/>
      <c r="AO293" s="17"/>
      <c r="AP293" s="33"/>
    </row>
    <row r="294" spans="1:42">
      <c r="A294" s="17"/>
      <c r="B294" s="16"/>
      <c r="C294" s="17"/>
      <c r="D294" s="17"/>
      <c r="E294" s="17"/>
      <c r="F294" s="25"/>
      <c r="G294" s="26">
        <f t="shared" si="10"/>
        <v>0</v>
      </c>
      <c r="H294" s="20">
        <f>IFERROR(VLOOKUP(D294,PRODUCTOS!$B:$O,14,0),0)</f>
        <v>0</v>
      </c>
      <c r="I294" s="20">
        <f t="shared" si="11"/>
        <v>0</v>
      </c>
      <c r="J294" s="26">
        <f t="shared" si="12"/>
        <v>0</v>
      </c>
      <c r="K294" s="30">
        <f t="shared" si="13"/>
        <v>0</v>
      </c>
      <c r="L294" s="17"/>
      <c r="M294" s="20">
        <f t="shared" si="14"/>
        <v>0</v>
      </c>
      <c r="N294" s="17"/>
      <c r="AO294" s="17"/>
      <c r="AP294" s="33"/>
    </row>
    <row r="295" spans="1:42">
      <c r="A295" s="17"/>
      <c r="B295" s="16"/>
      <c r="C295" s="17"/>
      <c r="D295" s="17"/>
      <c r="E295" s="17"/>
      <c r="F295" s="25"/>
      <c r="G295" s="26">
        <f t="shared" si="10"/>
        <v>0</v>
      </c>
      <c r="H295" s="20">
        <f>IFERROR(VLOOKUP(D295,PRODUCTOS!$B:$O,14,0),0)</f>
        <v>0</v>
      </c>
      <c r="I295" s="20">
        <f t="shared" si="11"/>
        <v>0</v>
      </c>
      <c r="J295" s="26">
        <f t="shared" si="12"/>
        <v>0</v>
      </c>
      <c r="K295" s="30">
        <f t="shared" si="13"/>
        <v>0</v>
      </c>
      <c r="L295" s="17"/>
      <c r="M295" s="20">
        <f t="shared" si="14"/>
        <v>0</v>
      </c>
      <c r="N295" s="17"/>
      <c r="AO295" s="17"/>
      <c r="AP295" s="33"/>
    </row>
    <row r="296" spans="1:42">
      <c r="A296" s="17"/>
      <c r="B296" s="16"/>
      <c r="C296" s="17"/>
      <c r="D296" s="17"/>
      <c r="E296" s="17"/>
      <c r="F296" s="25"/>
      <c r="G296" s="26">
        <f t="shared" si="10"/>
        <v>0</v>
      </c>
      <c r="H296" s="20">
        <f>IFERROR(VLOOKUP(D296,PRODUCTOS!$B:$O,14,0),0)</f>
        <v>0</v>
      </c>
      <c r="I296" s="20">
        <f t="shared" si="11"/>
        <v>0</v>
      </c>
      <c r="J296" s="26">
        <f t="shared" si="12"/>
        <v>0</v>
      </c>
      <c r="K296" s="30">
        <f t="shared" si="13"/>
        <v>0</v>
      </c>
      <c r="L296" s="17"/>
      <c r="M296" s="20">
        <f t="shared" si="14"/>
        <v>0</v>
      </c>
      <c r="N296" s="17"/>
      <c r="AO296" s="17"/>
      <c r="AP296" s="33"/>
    </row>
    <row r="297" spans="1:42">
      <c r="A297" s="17"/>
      <c r="B297" s="16"/>
      <c r="C297" s="17"/>
      <c r="D297" s="17"/>
      <c r="E297" s="17"/>
      <c r="F297" s="25"/>
      <c r="G297" s="26">
        <f t="shared" si="10"/>
        <v>0</v>
      </c>
      <c r="H297" s="20">
        <f>IFERROR(VLOOKUP(D297,PRODUCTOS!$B:$O,14,0),0)</f>
        <v>0</v>
      </c>
      <c r="I297" s="20">
        <f t="shared" si="11"/>
        <v>0</v>
      </c>
      <c r="J297" s="26">
        <f t="shared" si="12"/>
        <v>0</v>
      </c>
      <c r="K297" s="30">
        <f t="shared" si="13"/>
        <v>0</v>
      </c>
      <c r="L297" s="17"/>
      <c r="M297" s="20">
        <f t="shared" si="14"/>
        <v>0</v>
      </c>
      <c r="N297" s="17"/>
      <c r="AO297" s="17"/>
      <c r="AP297" s="33"/>
    </row>
    <row r="298" spans="1:42">
      <c r="A298" s="17"/>
      <c r="B298" s="16"/>
      <c r="C298" s="17"/>
      <c r="D298" s="17"/>
      <c r="E298" s="17"/>
      <c r="F298" s="25"/>
      <c r="G298" s="26">
        <f>IFERROR(E298*F298,0)</f>
        <v>0</v>
      </c>
      <c r="H298" s="20">
        <f>IFERROR(VLOOKUP(D298,PRODUCTOS!$B:$O,14,0),0)</f>
        <v>0</v>
      </c>
      <c r="I298" s="20">
        <f>IFERROR(E298*H298,0)</f>
        <v>0</v>
      </c>
      <c r="J298" s="26">
        <f>IFERROR(G298-I298,0)</f>
        <v>0</v>
      </c>
      <c r="K298" s="30">
        <f>IF(G298&gt;0,J298/G298,0)</f>
        <v>0</v>
      </c>
      <c r="L298" s="17"/>
      <c r="M298" s="20">
        <f>IF(L298&gt;0,J298/(L298/60),0)</f>
        <v>0</v>
      </c>
      <c r="N298" s="17"/>
      <c r="AO298" s="17"/>
      <c r="AP298" s="33"/>
    </row>
    <row r="299" spans="1:42">
      <c r="A299" s="17"/>
      <c r="B299" s="16"/>
      <c r="C299" s="17"/>
      <c r="D299" s="17"/>
      <c r="E299" s="17"/>
      <c r="F299" s="25"/>
      <c r="G299" s="26">
        <f>IFERROR(E299*F299,0)</f>
        <v>0</v>
      </c>
      <c r="H299" s="20">
        <f>IFERROR(VLOOKUP(D299,PRODUCTOS!$B:$O,14,0),0)</f>
        <v>0</v>
      </c>
      <c r="I299" s="20">
        <f>IFERROR(E299*H299,0)</f>
        <v>0</v>
      </c>
      <c r="J299" s="26">
        <f>IFERROR(G299-I299,0)</f>
        <v>0</v>
      </c>
      <c r="K299" s="30">
        <f>IF(G299&gt;0,J299/G299,0)</f>
        <v>0</v>
      </c>
      <c r="L299" s="17"/>
      <c r="M299" s="20">
        <f>IF(L299&gt;0,J299/(L299/60),0)</f>
        <v>0</v>
      </c>
      <c r="N299" s="17"/>
      <c r="AO299" s="17"/>
      <c r="AP299" s="33"/>
    </row>
    <row r="300" spans="1:42">
      <c r="A300" s="17"/>
      <c r="B300" s="16"/>
      <c r="C300" s="17"/>
      <c r="D300" s="17"/>
      <c r="E300" s="17"/>
      <c r="F300" s="25"/>
      <c r="G300" s="26">
        <f>IFERROR(E300*F300,0)</f>
        <v>0</v>
      </c>
      <c r="H300" s="20">
        <f>IFERROR(VLOOKUP(D300,PRODUCTOS!$B:$O,14,0),0)</f>
        <v>0</v>
      </c>
      <c r="I300" s="20">
        <f>IFERROR(E300*H300,0)</f>
        <v>0</v>
      </c>
      <c r="J300" s="26">
        <f>IFERROR(G300-I300,0)</f>
        <v>0</v>
      </c>
      <c r="K300" s="30">
        <f>IF(G300&gt;0,J300/G300,0)</f>
        <v>0</v>
      </c>
      <c r="L300" s="17"/>
      <c r="M300" s="20">
        <f>IF(L300&gt;0,J300/(L300/60),0)</f>
        <v>0</v>
      </c>
      <c r="N300" s="17"/>
      <c r="AO300" s="17"/>
      <c r="AP300" s="33"/>
    </row>
  </sheetData>
  <sheetProtection password="840F" sheet="1" insertRows="0" sort="0" autoFilter="0"/>
  <mergeCells count="1">
    <mergeCell ref="E1:G1"/>
  </mergeCells>
  <dataValidations count="3">
    <dataValidation type="list" showErrorMessage="1" error="Selecciona una opcion de la lista" sqref="D5:D500">
      <formula1>PRODUCTOS!$B$5:$B$100</formula1>
    </dataValidation>
    <dataValidation type="list" showErrorMessage="1" error="Selecciona una opcion de la lista" sqref="N5:N500">
      <formula1>CONFIGURACION!$F$14:$F$20</formula1>
    </dataValidation>
    <dataValidation type="list" showErrorMessage="1" error="Selecciona una opcion de la lista" sqref="O5:O500">
      <formula1>CONFIGURACION!$D$14:$D$19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41E1E"/>
  </sheetPr>
  <dimension ref="A1:L300"/>
  <sheetViews>
    <sheetView workbookViewId="0">
      <pane ySplit="4" topLeftCell="A5" activePane="bottomLeft" state="frozen"/>
      <selection/>
      <selection pane="bottomLeft" activeCell="A1" sqref="A1"/>
    </sheetView>
  </sheetViews>
  <sheetFormatPr defaultColWidth="9" defaultRowHeight="15"/>
  <cols>
    <col min="1" max="1" width="12" customWidth="1"/>
    <col min="2" max="3" width="11" customWidth="1"/>
    <col min="4" max="4" width="24" customWidth="1"/>
    <col min="5" max="5" width="12" customWidth="1"/>
    <col min="6" max="7" width="13" customWidth="1"/>
    <col min="8" max="9" width="14" customWidth="1"/>
    <col min="10" max="10" width="26" customWidth="1"/>
    <col min="11" max="11" width="9.14285714285714" hidden="1" customWidth="1"/>
    <col min="12" max="12" width="18" hidden="1" customWidth="1"/>
  </cols>
  <sheetData>
    <row r="1" ht="22" customHeight="1" spans="1:12">
      <c r="A1" s="4" t="s">
        <v>283</v>
      </c>
      <c r="B1" s="5"/>
      <c r="C1" s="5"/>
      <c r="D1" s="5"/>
      <c r="E1" s="6" t="str">
        <f>HYPERLINK("#DASHBOARD!A1","Volver al Menu Principal")</f>
        <v>Volver al Menu Principal</v>
      </c>
      <c r="F1" s="7"/>
      <c r="G1" s="7"/>
      <c r="H1" s="8"/>
      <c r="I1" s="7"/>
      <c r="J1" s="7"/>
      <c r="L1" s="6"/>
    </row>
    <row r="2" ht="20" customHeight="1" spans="1:10">
      <c r="A2" s="9" t="s">
        <v>103</v>
      </c>
      <c r="B2" s="10"/>
      <c r="C2" s="10"/>
      <c r="D2" s="10"/>
      <c r="E2" s="10"/>
      <c r="F2" s="10"/>
      <c r="G2" s="10"/>
      <c r="H2" s="10"/>
      <c r="I2" s="10"/>
      <c r="J2" s="10"/>
    </row>
    <row r="3" ht="20" customHeight="1" spans="1:10">
      <c r="A3" s="11" t="s">
        <v>284</v>
      </c>
      <c r="B3" s="12"/>
      <c r="C3" s="12"/>
      <c r="D3" s="12"/>
      <c r="E3" s="12"/>
      <c r="F3" s="12"/>
      <c r="G3" s="12"/>
      <c r="H3" s="12"/>
      <c r="I3" s="12"/>
      <c r="J3" s="12"/>
    </row>
    <row r="4" ht="38" customHeight="1" spans="1:10">
      <c r="A4" s="13" t="s">
        <v>262</v>
      </c>
      <c r="B4" s="14" t="s">
        <v>285</v>
      </c>
      <c r="C4" s="14" t="s">
        <v>159</v>
      </c>
      <c r="D4" s="15" t="s">
        <v>106</v>
      </c>
      <c r="E4" s="14" t="s">
        <v>286</v>
      </c>
      <c r="F4" s="15" t="s">
        <v>287</v>
      </c>
      <c r="G4" s="15" t="s">
        <v>288</v>
      </c>
      <c r="H4" s="15" t="s">
        <v>289</v>
      </c>
      <c r="I4" s="13" t="s">
        <v>290</v>
      </c>
      <c r="J4" s="13" t="s">
        <v>162</v>
      </c>
    </row>
    <row r="5" ht="18" customHeight="1" spans="1:10">
      <c r="A5" s="16">
        <v>46195</v>
      </c>
      <c r="B5" s="17" t="s">
        <v>58</v>
      </c>
      <c r="C5" s="17" t="s">
        <v>122</v>
      </c>
      <c r="D5" s="18" t="str">
        <f>IFERROR(VLOOKUP(C5,MATERIALES!$A:$B,2,0),"")</f>
        <v>Papel fotografico 260g</v>
      </c>
      <c r="E5" s="17">
        <v>100</v>
      </c>
      <c r="F5" s="18" t="str">
        <f>IFERROR(VLOOKUP(C5,MATERIALES!$A:$F,6,0),"")</f>
        <v>hoja</v>
      </c>
      <c r="G5" s="19">
        <f>IFERROR(VLOOKUP(C5,MATERIALES!$A:$I,9,0),0)</f>
        <v>250</v>
      </c>
      <c r="H5" s="20">
        <f t="shared" ref="H5:H68" si="0">IFERROR(E5*G5,0)</f>
        <v>25000</v>
      </c>
      <c r="I5" s="17" t="s">
        <v>113</v>
      </c>
      <c r="J5" s="17" t="s">
        <v>291</v>
      </c>
    </row>
    <row r="6" ht="18" customHeight="1" spans="1:10">
      <c r="A6" s="16">
        <v>46195</v>
      </c>
      <c r="B6" s="17" t="s">
        <v>58</v>
      </c>
      <c r="C6" s="17" t="s">
        <v>125</v>
      </c>
      <c r="D6" s="18" t="str">
        <f>IFERROR(VLOOKUP(C6,MATERIALES!$A:$B,2,0),"")</f>
        <v>Papel fotografico 180g</v>
      </c>
      <c r="E6" s="17">
        <v>100</v>
      </c>
      <c r="F6" s="18" t="str">
        <f>IFERROR(VLOOKUP(C6,MATERIALES!$A:$F,6,0),"")</f>
        <v>hoja</v>
      </c>
      <c r="G6" s="19">
        <f>IFERROR(VLOOKUP(C6,MATERIALES!$A:$I,9,0),0)</f>
        <v>70</v>
      </c>
      <c r="H6" s="20">
        <f t="shared" si="0"/>
        <v>7000</v>
      </c>
      <c r="I6" s="17" t="s">
        <v>113</v>
      </c>
      <c r="J6" s="17" t="s">
        <v>291</v>
      </c>
    </row>
    <row r="7" ht="18" customHeight="1" spans="1:10">
      <c r="A7" s="16">
        <v>46195</v>
      </c>
      <c r="B7" s="17" t="s">
        <v>58</v>
      </c>
      <c r="C7" s="17" t="s">
        <v>127</v>
      </c>
      <c r="D7" s="18" t="str">
        <f>IFERROR(VLOOKUP(C7,MATERIALES!$A:$B,2,0),"")</f>
        <v>Vinil imprimible (pack 20u)</v>
      </c>
      <c r="E7" s="17">
        <v>40</v>
      </c>
      <c r="F7" s="18" t="str">
        <f>IFERROR(VLOOKUP(C7,MATERIALES!$A:$F,6,0),"")</f>
        <v>hoja</v>
      </c>
      <c r="G7" s="19">
        <f>IFERROR(VLOOKUP(C7,MATERIALES!$A:$I,9,0),0)</f>
        <v>400</v>
      </c>
      <c r="H7" s="20">
        <f t="shared" si="0"/>
        <v>16000</v>
      </c>
      <c r="I7" s="17" t="s">
        <v>113</v>
      </c>
      <c r="J7" s="17" t="s">
        <v>291</v>
      </c>
    </row>
    <row r="8" ht="18" customHeight="1" spans="1:10">
      <c r="A8" s="16">
        <v>46195</v>
      </c>
      <c r="B8" s="17" t="s">
        <v>58</v>
      </c>
      <c r="C8" s="17" t="s">
        <v>130</v>
      </c>
      <c r="D8" s="18" t="str">
        <f>IFERROR(VLOOKUP(C8,MATERIALES!$A:$B,2,0),"")</f>
        <v>Vinil textil por metro</v>
      </c>
      <c r="E8" s="17">
        <v>500</v>
      </c>
      <c r="F8" s="18" t="str">
        <f>IFERROR(VLOOKUP(C8,MATERIALES!$A:$F,6,0),"")</f>
        <v>centimetro</v>
      </c>
      <c r="G8" s="19">
        <f>IFERROR(VLOOKUP(C8,MATERIALES!$A:$I,9,0),0)</f>
        <v>60</v>
      </c>
      <c r="H8" s="20">
        <f t="shared" si="0"/>
        <v>30000</v>
      </c>
      <c r="I8" s="17" t="s">
        <v>113</v>
      </c>
      <c r="J8" s="17" t="s">
        <v>291</v>
      </c>
    </row>
    <row r="9" ht="18" customHeight="1" spans="1:10">
      <c r="A9" s="16">
        <v>46195</v>
      </c>
      <c r="B9" s="17" t="s">
        <v>58</v>
      </c>
      <c r="C9" s="17" t="s">
        <v>133</v>
      </c>
      <c r="D9" s="18" t="str">
        <f>IFERROR(VLOOKUP(C9,MATERIALES!$A:$B,2,0),"")</f>
        <v>Papel adhesivo</v>
      </c>
      <c r="E9" s="17">
        <v>50</v>
      </c>
      <c r="F9" s="18" t="str">
        <f>IFERROR(VLOOKUP(C9,MATERIALES!$A:$F,6,0),"")</f>
        <v>hoja</v>
      </c>
      <c r="G9" s="19">
        <f>IFERROR(VLOOKUP(C9,MATERIALES!$A:$I,9,0),0)</f>
        <v>180</v>
      </c>
      <c r="H9" s="20">
        <f t="shared" si="0"/>
        <v>9000</v>
      </c>
      <c r="I9" s="17" t="s">
        <v>113</v>
      </c>
      <c r="J9" s="17" t="s">
        <v>291</v>
      </c>
    </row>
    <row r="10" ht="18" customHeight="1" spans="1:10">
      <c r="A10" s="16">
        <v>46195</v>
      </c>
      <c r="B10" s="17" t="s">
        <v>58</v>
      </c>
      <c r="C10" s="17" t="s">
        <v>135</v>
      </c>
      <c r="D10" s="18" t="str">
        <f>IFERROR(VLOOKUP(C10,MATERIALES!$A:$B,2,0),"")</f>
        <v>Cartulina opalina</v>
      </c>
      <c r="E10" s="17">
        <v>40</v>
      </c>
      <c r="F10" s="18" t="str">
        <f>IFERROR(VLOOKUP(C10,MATERIALES!$A:$F,6,0),"")</f>
        <v>hoja</v>
      </c>
      <c r="G10" s="19">
        <f>IFERROR(VLOOKUP(C10,MATERIALES!$A:$I,9,0),0)</f>
        <v>150</v>
      </c>
      <c r="H10" s="20">
        <f t="shared" si="0"/>
        <v>6000</v>
      </c>
      <c r="I10" s="17" t="s">
        <v>113</v>
      </c>
      <c r="J10" s="17" t="s">
        <v>291</v>
      </c>
    </row>
    <row r="11" ht="18" customHeight="1" spans="1:10">
      <c r="A11" s="16">
        <v>46195</v>
      </c>
      <c r="B11" s="17" t="s">
        <v>58</v>
      </c>
      <c r="C11" s="17" t="s">
        <v>137</v>
      </c>
      <c r="D11" s="18" t="str">
        <f>IFERROR(VLOOKUP(C11,MATERIALES!$A:$B,2,0),"")</f>
        <v>Pegamento</v>
      </c>
      <c r="E11" s="17">
        <v>3</v>
      </c>
      <c r="F11" s="18" t="str">
        <f>IFERROR(VLOOKUP(C11,MATERIALES!$A:$F,6,0),"")</f>
        <v>uso</v>
      </c>
      <c r="G11" s="19">
        <f>IFERROR(VLOOKUP(C11,MATERIALES!$A:$I,9,0),0)</f>
        <v>50</v>
      </c>
      <c r="H11" s="20">
        <f t="shared" si="0"/>
        <v>150</v>
      </c>
      <c r="I11" s="17" t="s">
        <v>113</v>
      </c>
      <c r="J11" s="17" t="s">
        <v>291</v>
      </c>
    </row>
    <row r="12" ht="18" customHeight="1" spans="1:10">
      <c r="A12" s="16">
        <v>46195</v>
      </c>
      <c r="B12" s="17" t="s">
        <v>58</v>
      </c>
      <c r="C12" s="17" t="s">
        <v>140</v>
      </c>
      <c r="D12" s="18" t="str">
        <f>IFERROR(VLOOKUP(C12,MATERIALES!$A:$B,2,0),"")</f>
        <v>Palitos para toppers</v>
      </c>
      <c r="E12" s="17">
        <v>200</v>
      </c>
      <c r="F12" s="18" t="str">
        <f>IFERROR(VLOOKUP(C12,MATERIALES!$A:$F,6,0),"")</f>
        <v>unidad</v>
      </c>
      <c r="G12" s="19">
        <f>IFERROR(VLOOKUP(C12,MATERIALES!$A:$I,9,0),0)</f>
        <v>15</v>
      </c>
      <c r="H12" s="20">
        <f t="shared" si="0"/>
        <v>3000</v>
      </c>
      <c r="I12" s="17" t="s">
        <v>113</v>
      </c>
      <c r="J12" s="17" t="s">
        <v>291</v>
      </c>
    </row>
    <row r="13" ht="18" customHeight="1" spans="1:10">
      <c r="A13" s="16">
        <v>46195</v>
      </c>
      <c r="B13" s="17" t="s">
        <v>58</v>
      </c>
      <c r="C13" s="17" t="s">
        <v>143</v>
      </c>
      <c r="D13" s="18" t="str">
        <f>IFERROR(VLOOKUP(C13,MATERIALES!$A:$B,2,0),"")</f>
        <v>Tinta Epson (set completo)</v>
      </c>
      <c r="E13" s="17">
        <v>400</v>
      </c>
      <c r="F13" s="18" t="str">
        <f>IFERROR(VLOOKUP(C13,MATERIALES!$A:$F,6,0),"")</f>
        <v>uso</v>
      </c>
      <c r="G13" s="19">
        <f>IFERROR(VLOOKUP(C13,MATERIALES!$A:$I,9,0),0)</f>
        <v>175</v>
      </c>
      <c r="H13" s="20">
        <f t="shared" si="0"/>
        <v>70000</v>
      </c>
      <c r="I13" s="17" t="s">
        <v>113</v>
      </c>
      <c r="J13" s="17" t="s">
        <v>291</v>
      </c>
    </row>
    <row r="14" ht="18" customHeight="1" spans="1:10">
      <c r="A14" s="16">
        <v>46195</v>
      </c>
      <c r="B14" s="17" t="s">
        <v>58</v>
      </c>
      <c r="C14" s="17" t="s">
        <v>146</v>
      </c>
      <c r="D14" s="18" t="str">
        <f>IFERROR(VLOOKUP(C14,MATERIALES!$A:$B,2,0),"")</f>
        <v>Lona para pendones</v>
      </c>
      <c r="E14" s="17">
        <v>50000</v>
      </c>
      <c r="F14" s="18" t="str">
        <f>IFERROR(VLOOKUP(C14,MATERIALES!$A:$F,6,0),"")</f>
        <v>cm2</v>
      </c>
      <c r="G14" s="19">
        <f>IFERROR(VLOOKUP(C14,MATERIALES!$A:$I,9,0),0)</f>
        <v>0.8</v>
      </c>
      <c r="H14" s="20">
        <f t="shared" si="0"/>
        <v>40000</v>
      </c>
      <c r="I14" s="17" t="s">
        <v>113</v>
      </c>
      <c r="J14" s="17" t="s">
        <v>291</v>
      </c>
    </row>
    <row r="15" spans="1:10">
      <c r="A15" s="16" t="s">
        <v>154</v>
      </c>
      <c r="B15" s="17" t="s">
        <v>58</v>
      </c>
      <c r="C15" s="17" t="s">
        <v>149</v>
      </c>
      <c r="D15" s="18" t="str">
        <f>IFERROR(VLOOKUP(C15,MATERIALES!$A:$B,2,0),"")</f>
        <v>Material de Prueba</v>
      </c>
      <c r="E15" s="17">
        <v>10</v>
      </c>
      <c r="F15" s="18" t="str">
        <f>IFERROR(VLOOKUP(C15,MATERIALES!$A:$F,6,0),"")</f>
        <v>kg</v>
      </c>
      <c r="G15" s="19">
        <f>IFERROR(VLOOKUP(C15,MATERIALES!$A:$I,9,0),0)</f>
        <v>10</v>
      </c>
      <c r="H15" s="20">
        <f t="shared" si="0"/>
        <v>100</v>
      </c>
      <c r="I15" s="17" t="s">
        <v>280</v>
      </c>
      <c r="J15" s="17" t="s">
        <v>292</v>
      </c>
    </row>
    <row r="16" spans="1:10">
      <c r="A16" s="16"/>
      <c r="B16" s="17"/>
      <c r="C16" s="17"/>
      <c r="D16" s="18" t="str">
        <f>IFERROR(VLOOKUP(C16,MATERIALES!$A:$B,2,0),"")</f>
        <v/>
      </c>
      <c r="E16" s="17"/>
      <c r="F16" s="18" t="str">
        <f>IFERROR(VLOOKUP(C16,MATERIALES!$A:$F,6,0),"")</f>
        <v/>
      </c>
      <c r="G16" s="19">
        <f>IFERROR(VLOOKUP(C16,MATERIALES!$A:$I,9,0),0)</f>
        <v>0</v>
      </c>
      <c r="H16" s="20">
        <f t="shared" si="0"/>
        <v>0</v>
      </c>
      <c r="I16" s="17"/>
      <c r="J16" s="17"/>
    </row>
    <row r="17" spans="1:10">
      <c r="A17" s="16"/>
      <c r="B17" s="17"/>
      <c r="C17" s="17"/>
      <c r="D17" s="18" t="str">
        <f>IFERROR(VLOOKUP(C17,MATERIALES!$A:$B,2,0),"")</f>
        <v/>
      </c>
      <c r="E17" s="17"/>
      <c r="F17" s="18" t="str">
        <f>IFERROR(VLOOKUP(C17,MATERIALES!$A:$F,6,0),"")</f>
        <v/>
      </c>
      <c r="G17" s="19">
        <f>IFERROR(VLOOKUP(C17,MATERIALES!$A:$I,9,0),0)</f>
        <v>0</v>
      </c>
      <c r="H17" s="20">
        <f t="shared" si="0"/>
        <v>0</v>
      </c>
      <c r="I17" s="17"/>
      <c r="J17" s="17"/>
    </row>
    <row r="18" spans="1:10">
      <c r="A18" s="16"/>
      <c r="B18" s="17"/>
      <c r="C18" s="17"/>
      <c r="D18" s="18" t="str">
        <f>IFERROR(VLOOKUP(C18,MATERIALES!$A:$B,2,0),"")</f>
        <v/>
      </c>
      <c r="E18" s="17"/>
      <c r="F18" s="18" t="str">
        <f>IFERROR(VLOOKUP(C18,MATERIALES!$A:$F,6,0),"")</f>
        <v/>
      </c>
      <c r="G18" s="19">
        <f>IFERROR(VLOOKUP(C18,MATERIALES!$A:$I,9,0),0)</f>
        <v>0</v>
      </c>
      <c r="H18" s="20">
        <f t="shared" si="0"/>
        <v>0</v>
      </c>
      <c r="I18" s="17"/>
      <c r="J18" s="17"/>
    </row>
    <row r="19" spans="1:10">
      <c r="A19" s="16"/>
      <c r="B19" s="17"/>
      <c r="C19" s="17"/>
      <c r="D19" s="18" t="str">
        <f>IFERROR(VLOOKUP(C19,MATERIALES!$A:$B,2,0),"")</f>
        <v/>
      </c>
      <c r="E19" s="17"/>
      <c r="F19" s="18" t="str">
        <f>IFERROR(VLOOKUP(C19,MATERIALES!$A:$F,6,0),"")</f>
        <v/>
      </c>
      <c r="G19" s="19">
        <f>IFERROR(VLOOKUP(C19,MATERIALES!$A:$I,9,0),0)</f>
        <v>0</v>
      </c>
      <c r="H19" s="20">
        <f t="shared" si="0"/>
        <v>0</v>
      </c>
      <c r="I19" s="17"/>
      <c r="J19" s="17"/>
    </row>
    <row r="20" spans="1:10">
      <c r="A20" s="16"/>
      <c r="B20" s="17"/>
      <c r="C20" s="17"/>
      <c r="D20" s="18" t="str">
        <f>IFERROR(VLOOKUP(C20,MATERIALES!$A:$B,2,0),"")</f>
        <v/>
      </c>
      <c r="E20" s="17"/>
      <c r="F20" s="18" t="str">
        <f>IFERROR(VLOOKUP(C20,MATERIALES!$A:$F,6,0),"")</f>
        <v/>
      </c>
      <c r="G20" s="19">
        <f>IFERROR(VLOOKUP(C20,MATERIALES!$A:$I,9,0),0)</f>
        <v>0</v>
      </c>
      <c r="H20" s="20">
        <f t="shared" si="0"/>
        <v>0</v>
      </c>
      <c r="I20" s="17"/>
      <c r="J20" s="17"/>
    </row>
    <row r="21" spans="1:10">
      <c r="A21" s="16"/>
      <c r="B21" s="17"/>
      <c r="C21" s="17"/>
      <c r="D21" s="18" t="str">
        <f>IFERROR(VLOOKUP(C21,MATERIALES!$A:$B,2,0),"")</f>
        <v/>
      </c>
      <c r="E21" s="17"/>
      <c r="F21" s="18" t="str">
        <f>IFERROR(VLOOKUP(C21,MATERIALES!$A:$F,6,0),"")</f>
        <v/>
      </c>
      <c r="G21" s="19">
        <f>IFERROR(VLOOKUP(C21,MATERIALES!$A:$I,9,0),0)</f>
        <v>0</v>
      </c>
      <c r="H21" s="20">
        <f t="shared" si="0"/>
        <v>0</v>
      </c>
      <c r="I21" s="17"/>
      <c r="J21" s="17"/>
    </row>
    <row r="22" spans="1:10">
      <c r="A22" s="16"/>
      <c r="B22" s="17"/>
      <c r="C22" s="17"/>
      <c r="D22" s="18" t="str">
        <f>IFERROR(VLOOKUP(C22,MATERIALES!$A:$B,2,0),"")</f>
        <v/>
      </c>
      <c r="E22" s="17"/>
      <c r="F22" s="18" t="str">
        <f>IFERROR(VLOOKUP(C22,MATERIALES!$A:$F,6,0),"")</f>
        <v/>
      </c>
      <c r="G22" s="19">
        <f>IFERROR(VLOOKUP(C22,MATERIALES!$A:$I,9,0),0)</f>
        <v>0</v>
      </c>
      <c r="H22" s="20">
        <f t="shared" si="0"/>
        <v>0</v>
      </c>
      <c r="I22" s="17"/>
      <c r="J22" s="17"/>
    </row>
    <row r="23" spans="1:10">
      <c r="A23" s="16"/>
      <c r="B23" s="17"/>
      <c r="C23" s="17"/>
      <c r="D23" s="18" t="str">
        <f>IFERROR(VLOOKUP(C23,MATERIALES!$A:$B,2,0),"")</f>
        <v/>
      </c>
      <c r="E23" s="17"/>
      <c r="F23" s="18" t="str">
        <f>IFERROR(VLOOKUP(C23,MATERIALES!$A:$F,6,0),"")</f>
        <v/>
      </c>
      <c r="G23" s="19">
        <f>IFERROR(VLOOKUP(C23,MATERIALES!$A:$I,9,0),0)</f>
        <v>0</v>
      </c>
      <c r="H23" s="20">
        <f t="shared" si="0"/>
        <v>0</v>
      </c>
      <c r="I23" s="17"/>
      <c r="J23" s="17"/>
    </row>
    <row r="24" spans="1:10">
      <c r="A24" s="16"/>
      <c r="B24" s="17"/>
      <c r="C24" s="17"/>
      <c r="D24" s="18" t="str">
        <f>IFERROR(VLOOKUP(C24,MATERIALES!$A:$B,2,0),"")</f>
        <v/>
      </c>
      <c r="E24" s="17"/>
      <c r="F24" s="18" t="str">
        <f>IFERROR(VLOOKUP(C24,MATERIALES!$A:$F,6,0),"")</f>
        <v/>
      </c>
      <c r="G24" s="19">
        <f>IFERROR(VLOOKUP(C24,MATERIALES!$A:$I,9,0),0)</f>
        <v>0</v>
      </c>
      <c r="H24" s="20">
        <f t="shared" si="0"/>
        <v>0</v>
      </c>
      <c r="I24" s="17"/>
      <c r="J24" s="17"/>
    </row>
    <row r="25" spans="1:10">
      <c r="A25" s="16"/>
      <c r="B25" s="17"/>
      <c r="C25" s="17"/>
      <c r="D25" s="18" t="str">
        <f>IFERROR(VLOOKUP(C25,MATERIALES!$A:$B,2,0),"")</f>
        <v/>
      </c>
      <c r="E25" s="17"/>
      <c r="F25" s="18" t="str">
        <f>IFERROR(VLOOKUP(C25,MATERIALES!$A:$F,6,0),"")</f>
        <v/>
      </c>
      <c r="G25" s="19">
        <f>IFERROR(VLOOKUP(C25,MATERIALES!$A:$I,9,0),0)</f>
        <v>0</v>
      </c>
      <c r="H25" s="20">
        <f t="shared" si="0"/>
        <v>0</v>
      </c>
      <c r="I25" s="17"/>
      <c r="J25" s="17"/>
    </row>
    <row r="26" spans="1:10">
      <c r="A26" s="16"/>
      <c r="B26" s="17"/>
      <c r="C26" s="17"/>
      <c r="D26" s="18" t="str">
        <f>IFERROR(VLOOKUP(C26,MATERIALES!$A:$B,2,0),"")</f>
        <v/>
      </c>
      <c r="E26" s="17"/>
      <c r="F26" s="18" t="str">
        <f>IFERROR(VLOOKUP(C26,MATERIALES!$A:$F,6,0),"")</f>
        <v/>
      </c>
      <c r="G26" s="19">
        <f>IFERROR(VLOOKUP(C26,MATERIALES!$A:$I,9,0),0)</f>
        <v>0</v>
      </c>
      <c r="H26" s="20">
        <f t="shared" si="0"/>
        <v>0</v>
      </c>
      <c r="I26" s="17"/>
      <c r="J26" s="17"/>
    </row>
    <row r="27" spans="1:10">
      <c r="A27" s="16"/>
      <c r="B27" s="17"/>
      <c r="C27" s="17"/>
      <c r="D27" s="18" t="str">
        <f>IFERROR(VLOOKUP(C27,MATERIALES!$A:$B,2,0),"")</f>
        <v/>
      </c>
      <c r="E27" s="17"/>
      <c r="F27" s="18" t="str">
        <f>IFERROR(VLOOKUP(C27,MATERIALES!$A:$F,6,0),"")</f>
        <v/>
      </c>
      <c r="G27" s="19">
        <f>IFERROR(VLOOKUP(C27,MATERIALES!$A:$I,9,0),0)</f>
        <v>0</v>
      </c>
      <c r="H27" s="20">
        <f t="shared" si="0"/>
        <v>0</v>
      </c>
      <c r="I27" s="17"/>
      <c r="J27" s="17"/>
    </row>
    <row r="28" spans="1:10">
      <c r="A28" s="16"/>
      <c r="B28" s="17"/>
      <c r="C28" s="17"/>
      <c r="D28" s="18" t="str">
        <f>IFERROR(VLOOKUP(C28,MATERIALES!$A:$B,2,0),"")</f>
        <v/>
      </c>
      <c r="E28" s="17"/>
      <c r="F28" s="18" t="str">
        <f>IFERROR(VLOOKUP(C28,MATERIALES!$A:$F,6,0),"")</f>
        <v/>
      </c>
      <c r="G28" s="19">
        <f>IFERROR(VLOOKUP(C28,MATERIALES!$A:$I,9,0),0)</f>
        <v>0</v>
      </c>
      <c r="H28" s="20">
        <f t="shared" si="0"/>
        <v>0</v>
      </c>
      <c r="I28" s="17"/>
      <c r="J28" s="17"/>
    </row>
    <row r="29" spans="1:10">
      <c r="A29" s="16"/>
      <c r="B29" s="17"/>
      <c r="C29" s="17"/>
      <c r="D29" s="18" t="str">
        <f>IFERROR(VLOOKUP(C29,MATERIALES!$A:$B,2,0),"")</f>
        <v/>
      </c>
      <c r="E29" s="17"/>
      <c r="F29" s="18" t="str">
        <f>IFERROR(VLOOKUP(C29,MATERIALES!$A:$F,6,0),"")</f>
        <v/>
      </c>
      <c r="G29" s="19">
        <f>IFERROR(VLOOKUP(C29,MATERIALES!$A:$I,9,0),0)</f>
        <v>0</v>
      </c>
      <c r="H29" s="20">
        <f t="shared" si="0"/>
        <v>0</v>
      </c>
      <c r="I29" s="17"/>
      <c r="J29" s="17"/>
    </row>
    <row r="30" spans="1:10">
      <c r="A30" s="16"/>
      <c r="B30" s="17"/>
      <c r="C30" s="17"/>
      <c r="D30" s="18" t="str">
        <f>IFERROR(VLOOKUP(C30,MATERIALES!$A:$B,2,0),"")</f>
        <v/>
      </c>
      <c r="E30" s="17"/>
      <c r="F30" s="18" t="str">
        <f>IFERROR(VLOOKUP(C30,MATERIALES!$A:$F,6,0),"")</f>
        <v/>
      </c>
      <c r="G30" s="19">
        <f>IFERROR(VLOOKUP(C30,MATERIALES!$A:$I,9,0),0)</f>
        <v>0</v>
      </c>
      <c r="H30" s="20">
        <f t="shared" si="0"/>
        <v>0</v>
      </c>
      <c r="I30" s="17"/>
      <c r="J30" s="17"/>
    </row>
    <row r="31" spans="1:10">
      <c r="A31" s="16"/>
      <c r="B31" s="17"/>
      <c r="C31" s="17"/>
      <c r="D31" s="18" t="str">
        <f>IFERROR(VLOOKUP(C31,MATERIALES!$A:$B,2,0),"")</f>
        <v/>
      </c>
      <c r="E31" s="17"/>
      <c r="F31" s="18" t="str">
        <f>IFERROR(VLOOKUP(C31,MATERIALES!$A:$F,6,0),"")</f>
        <v/>
      </c>
      <c r="G31" s="19">
        <f>IFERROR(VLOOKUP(C31,MATERIALES!$A:$I,9,0),0)</f>
        <v>0</v>
      </c>
      <c r="H31" s="20">
        <f t="shared" si="0"/>
        <v>0</v>
      </c>
      <c r="I31" s="17"/>
      <c r="J31" s="17"/>
    </row>
    <row r="32" spans="1:10">
      <c r="A32" s="16"/>
      <c r="B32" s="17"/>
      <c r="C32" s="17"/>
      <c r="D32" s="18" t="str">
        <f>IFERROR(VLOOKUP(C32,MATERIALES!$A:$B,2,0),"")</f>
        <v/>
      </c>
      <c r="E32" s="17"/>
      <c r="F32" s="18" t="str">
        <f>IFERROR(VLOOKUP(C32,MATERIALES!$A:$F,6,0),"")</f>
        <v/>
      </c>
      <c r="G32" s="19">
        <f>IFERROR(VLOOKUP(C32,MATERIALES!$A:$I,9,0),0)</f>
        <v>0</v>
      </c>
      <c r="H32" s="20">
        <f t="shared" si="0"/>
        <v>0</v>
      </c>
      <c r="I32" s="17"/>
      <c r="J32" s="17"/>
    </row>
    <row r="33" spans="1:10">
      <c r="A33" s="16"/>
      <c r="B33" s="17"/>
      <c r="C33" s="17"/>
      <c r="D33" s="18" t="str">
        <f>IFERROR(VLOOKUP(C33,MATERIALES!$A:$B,2,0),"")</f>
        <v/>
      </c>
      <c r="E33" s="17"/>
      <c r="F33" s="18" t="str">
        <f>IFERROR(VLOOKUP(C33,MATERIALES!$A:$F,6,0),"")</f>
        <v/>
      </c>
      <c r="G33" s="19">
        <f>IFERROR(VLOOKUP(C33,MATERIALES!$A:$I,9,0),0)</f>
        <v>0</v>
      </c>
      <c r="H33" s="20">
        <f t="shared" si="0"/>
        <v>0</v>
      </c>
      <c r="I33" s="17"/>
      <c r="J33" s="17"/>
    </row>
    <row r="34" spans="1:10">
      <c r="A34" s="16"/>
      <c r="B34" s="17"/>
      <c r="C34" s="17"/>
      <c r="D34" s="18" t="str">
        <f>IFERROR(VLOOKUP(C34,MATERIALES!$A:$B,2,0),"")</f>
        <v/>
      </c>
      <c r="E34" s="17"/>
      <c r="F34" s="18" t="str">
        <f>IFERROR(VLOOKUP(C34,MATERIALES!$A:$F,6,0),"")</f>
        <v/>
      </c>
      <c r="G34" s="19">
        <f>IFERROR(VLOOKUP(C34,MATERIALES!$A:$I,9,0),0)</f>
        <v>0</v>
      </c>
      <c r="H34" s="20">
        <f t="shared" si="0"/>
        <v>0</v>
      </c>
      <c r="I34" s="17"/>
      <c r="J34" s="17"/>
    </row>
    <row r="35" spans="1:10">
      <c r="A35" s="16"/>
      <c r="B35" s="17"/>
      <c r="C35" s="17"/>
      <c r="D35" s="18" t="str">
        <f>IFERROR(VLOOKUP(C35,MATERIALES!$A:$B,2,0),"")</f>
        <v/>
      </c>
      <c r="E35" s="17"/>
      <c r="F35" s="18" t="str">
        <f>IFERROR(VLOOKUP(C35,MATERIALES!$A:$F,6,0),"")</f>
        <v/>
      </c>
      <c r="G35" s="19">
        <f>IFERROR(VLOOKUP(C35,MATERIALES!$A:$I,9,0),0)</f>
        <v>0</v>
      </c>
      <c r="H35" s="20">
        <f t="shared" si="0"/>
        <v>0</v>
      </c>
      <c r="I35" s="17"/>
      <c r="J35" s="17"/>
    </row>
    <row r="36" spans="1:10">
      <c r="A36" s="16"/>
      <c r="B36" s="17"/>
      <c r="C36" s="17"/>
      <c r="D36" s="18" t="str">
        <f>IFERROR(VLOOKUP(C36,MATERIALES!$A:$B,2,0),"")</f>
        <v/>
      </c>
      <c r="E36" s="17"/>
      <c r="F36" s="18" t="str">
        <f>IFERROR(VLOOKUP(C36,MATERIALES!$A:$F,6,0),"")</f>
        <v/>
      </c>
      <c r="G36" s="19">
        <f>IFERROR(VLOOKUP(C36,MATERIALES!$A:$I,9,0),0)</f>
        <v>0</v>
      </c>
      <c r="H36" s="20">
        <f t="shared" si="0"/>
        <v>0</v>
      </c>
      <c r="I36" s="17"/>
      <c r="J36" s="17"/>
    </row>
    <row r="37" spans="1:10">
      <c r="A37" s="16"/>
      <c r="B37" s="17"/>
      <c r="C37" s="17"/>
      <c r="D37" s="18" t="str">
        <f>IFERROR(VLOOKUP(C37,MATERIALES!$A:$B,2,0),"")</f>
        <v/>
      </c>
      <c r="E37" s="17"/>
      <c r="F37" s="18" t="str">
        <f>IFERROR(VLOOKUP(C37,MATERIALES!$A:$F,6,0),"")</f>
        <v/>
      </c>
      <c r="G37" s="19">
        <f>IFERROR(VLOOKUP(C37,MATERIALES!$A:$I,9,0),0)</f>
        <v>0</v>
      </c>
      <c r="H37" s="20">
        <f t="shared" si="0"/>
        <v>0</v>
      </c>
      <c r="I37" s="17"/>
      <c r="J37" s="17"/>
    </row>
    <row r="38" spans="1:10">
      <c r="A38" s="16"/>
      <c r="B38" s="17"/>
      <c r="C38" s="17"/>
      <c r="D38" s="18" t="str">
        <f>IFERROR(VLOOKUP(C38,MATERIALES!$A:$B,2,0),"")</f>
        <v/>
      </c>
      <c r="E38" s="17"/>
      <c r="F38" s="18" t="str">
        <f>IFERROR(VLOOKUP(C38,MATERIALES!$A:$F,6,0),"")</f>
        <v/>
      </c>
      <c r="G38" s="19">
        <f>IFERROR(VLOOKUP(C38,MATERIALES!$A:$I,9,0),0)</f>
        <v>0</v>
      </c>
      <c r="H38" s="20">
        <f t="shared" si="0"/>
        <v>0</v>
      </c>
      <c r="I38" s="17"/>
      <c r="J38" s="17"/>
    </row>
    <row r="39" spans="1:10">
      <c r="A39" s="16"/>
      <c r="B39" s="17"/>
      <c r="C39" s="17"/>
      <c r="D39" s="18" t="str">
        <f>IFERROR(VLOOKUP(C39,MATERIALES!$A:$B,2,0),"")</f>
        <v/>
      </c>
      <c r="E39" s="17"/>
      <c r="F39" s="18" t="str">
        <f>IFERROR(VLOOKUP(C39,MATERIALES!$A:$F,6,0),"")</f>
        <v/>
      </c>
      <c r="G39" s="19">
        <f>IFERROR(VLOOKUP(C39,MATERIALES!$A:$I,9,0),0)</f>
        <v>0</v>
      </c>
      <c r="H39" s="20">
        <f t="shared" si="0"/>
        <v>0</v>
      </c>
      <c r="I39" s="17"/>
      <c r="J39" s="17"/>
    </row>
    <row r="40" spans="1:10">
      <c r="A40" s="16"/>
      <c r="B40" s="17"/>
      <c r="C40" s="17"/>
      <c r="D40" s="18" t="str">
        <f>IFERROR(VLOOKUP(C40,MATERIALES!$A:$B,2,0),"")</f>
        <v/>
      </c>
      <c r="E40" s="17"/>
      <c r="F40" s="18" t="str">
        <f>IFERROR(VLOOKUP(C40,MATERIALES!$A:$F,6,0),"")</f>
        <v/>
      </c>
      <c r="G40" s="19">
        <f>IFERROR(VLOOKUP(C40,MATERIALES!$A:$I,9,0),0)</f>
        <v>0</v>
      </c>
      <c r="H40" s="20">
        <f t="shared" si="0"/>
        <v>0</v>
      </c>
      <c r="I40" s="17"/>
      <c r="J40" s="17"/>
    </row>
    <row r="41" spans="1:10">
      <c r="A41" s="16"/>
      <c r="B41" s="17"/>
      <c r="C41" s="17"/>
      <c r="D41" s="18" t="str">
        <f>IFERROR(VLOOKUP(C41,MATERIALES!$A:$B,2,0),"")</f>
        <v/>
      </c>
      <c r="E41" s="17"/>
      <c r="F41" s="18" t="str">
        <f>IFERROR(VLOOKUP(C41,MATERIALES!$A:$F,6,0),"")</f>
        <v/>
      </c>
      <c r="G41" s="19">
        <f>IFERROR(VLOOKUP(C41,MATERIALES!$A:$I,9,0),0)</f>
        <v>0</v>
      </c>
      <c r="H41" s="20">
        <f t="shared" si="0"/>
        <v>0</v>
      </c>
      <c r="I41" s="17"/>
      <c r="J41" s="17"/>
    </row>
    <row r="42" spans="1:10">
      <c r="A42" s="16"/>
      <c r="B42" s="17"/>
      <c r="C42" s="17"/>
      <c r="D42" s="18" t="str">
        <f>IFERROR(VLOOKUP(C42,MATERIALES!$A:$B,2,0),"")</f>
        <v/>
      </c>
      <c r="E42" s="17"/>
      <c r="F42" s="18" t="str">
        <f>IFERROR(VLOOKUP(C42,MATERIALES!$A:$F,6,0),"")</f>
        <v/>
      </c>
      <c r="G42" s="19">
        <f>IFERROR(VLOOKUP(C42,MATERIALES!$A:$I,9,0),0)</f>
        <v>0</v>
      </c>
      <c r="H42" s="20">
        <f t="shared" si="0"/>
        <v>0</v>
      </c>
      <c r="I42" s="17"/>
      <c r="J42" s="17"/>
    </row>
    <row r="43" spans="1:10">
      <c r="A43" s="16"/>
      <c r="B43" s="17"/>
      <c r="C43" s="17"/>
      <c r="D43" s="18" t="str">
        <f>IFERROR(VLOOKUP(C43,MATERIALES!$A:$B,2,0),"")</f>
        <v/>
      </c>
      <c r="E43" s="17"/>
      <c r="F43" s="18" t="str">
        <f>IFERROR(VLOOKUP(C43,MATERIALES!$A:$F,6,0),"")</f>
        <v/>
      </c>
      <c r="G43" s="19">
        <f>IFERROR(VLOOKUP(C43,MATERIALES!$A:$I,9,0),0)</f>
        <v>0</v>
      </c>
      <c r="H43" s="20">
        <f t="shared" si="0"/>
        <v>0</v>
      </c>
      <c r="I43" s="17"/>
      <c r="J43" s="17"/>
    </row>
    <row r="44" spans="1:10">
      <c r="A44" s="16"/>
      <c r="B44" s="17"/>
      <c r="C44" s="17"/>
      <c r="D44" s="18" t="str">
        <f>IFERROR(VLOOKUP(C44,MATERIALES!$A:$B,2,0),"")</f>
        <v/>
      </c>
      <c r="E44" s="17"/>
      <c r="F44" s="18" t="str">
        <f>IFERROR(VLOOKUP(C44,MATERIALES!$A:$F,6,0),"")</f>
        <v/>
      </c>
      <c r="G44" s="19">
        <f>IFERROR(VLOOKUP(C44,MATERIALES!$A:$I,9,0),0)</f>
        <v>0</v>
      </c>
      <c r="H44" s="20">
        <f t="shared" si="0"/>
        <v>0</v>
      </c>
      <c r="I44" s="17"/>
      <c r="J44" s="17"/>
    </row>
    <row r="45" spans="1:10">
      <c r="A45" s="16"/>
      <c r="B45" s="17"/>
      <c r="C45" s="17"/>
      <c r="D45" s="18" t="str">
        <f>IFERROR(VLOOKUP(C45,MATERIALES!$A:$B,2,0),"")</f>
        <v/>
      </c>
      <c r="E45" s="17"/>
      <c r="F45" s="18" t="str">
        <f>IFERROR(VLOOKUP(C45,MATERIALES!$A:$F,6,0),"")</f>
        <v/>
      </c>
      <c r="G45" s="19">
        <f>IFERROR(VLOOKUP(C45,MATERIALES!$A:$I,9,0),0)</f>
        <v>0</v>
      </c>
      <c r="H45" s="20">
        <f t="shared" si="0"/>
        <v>0</v>
      </c>
      <c r="I45" s="17"/>
      <c r="J45" s="17"/>
    </row>
    <row r="46" spans="1:10">
      <c r="A46" s="16"/>
      <c r="B46" s="17"/>
      <c r="C46" s="17"/>
      <c r="D46" s="18" t="str">
        <f>IFERROR(VLOOKUP(C46,MATERIALES!$A:$B,2,0),"")</f>
        <v/>
      </c>
      <c r="E46" s="17"/>
      <c r="F46" s="18" t="str">
        <f>IFERROR(VLOOKUP(C46,MATERIALES!$A:$F,6,0),"")</f>
        <v/>
      </c>
      <c r="G46" s="19">
        <f>IFERROR(VLOOKUP(C46,MATERIALES!$A:$I,9,0),0)</f>
        <v>0</v>
      </c>
      <c r="H46" s="20">
        <f t="shared" si="0"/>
        <v>0</v>
      </c>
      <c r="I46" s="17"/>
      <c r="J46" s="17"/>
    </row>
    <row r="47" spans="1:10">
      <c r="A47" s="16"/>
      <c r="B47" s="17"/>
      <c r="C47" s="17"/>
      <c r="D47" s="18" t="str">
        <f>IFERROR(VLOOKUP(C47,MATERIALES!$A:$B,2,0),"")</f>
        <v/>
      </c>
      <c r="E47" s="17"/>
      <c r="F47" s="18" t="str">
        <f>IFERROR(VLOOKUP(C47,MATERIALES!$A:$F,6,0),"")</f>
        <v/>
      </c>
      <c r="G47" s="19">
        <f>IFERROR(VLOOKUP(C47,MATERIALES!$A:$I,9,0),0)</f>
        <v>0</v>
      </c>
      <c r="H47" s="20">
        <f t="shared" si="0"/>
        <v>0</v>
      </c>
      <c r="I47" s="17"/>
      <c r="J47" s="17"/>
    </row>
    <row r="48" spans="1:10">
      <c r="A48" s="16"/>
      <c r="B48" s="17"/>
      <c r="C48" s="17"/>
      <c r="D48" s="18" t="str">
        <f>IFERROR(VLOOKUP(C48,MATERIALES!$A:$B,2,0),"")</f>
        <v/>
      </c>
      <c r="E48" s="17"/>
      <c r="F48" s="18" t="str">
        <f>IFERROR(VLOOKUP(C48,MATERIALES!$A:$F,6,0),"")</f>
        <v/>
      </c>
      <c r="G48" s="19">
        <f>IFERROR(VLOOKUP(C48,MATERIALES!$A:$I,9,0),0)</f>
        <v>0</v>
      </c>
      <c r="H48" s="20">
        <f t="shared" si="0"/>
        <v>0</v>
      </c>
      <c r="I48" s="17"/>
      <c r="J48" s="17"/>
    </row>
    <row r="49" spans="1:10">
      <c r="A49" s="16"/>
      <c r="B49" s="17"/>
      <c r="C49" s="17"/>
      <c r="D49" s="18" t="str">
        <f>IFERROR(VLOOKUP(C49,MATERIALES!$A:$B,2,0),"")</f>
        <v/>
      </c>
      <c r="E49" s="17"/>
      <c r="F49" s="18" t="str">
        <f>IFERROR(VLOOKUP(C49,MATERIALES!$A:$F,6,0),"")</f>
        <v/>
      </c>
      <c r="G49" s="19">
        <f>IFERROR(VLOOKUP(C49,MATERIALES!$A:$I,9,0),0)</f>
        <v>0</v>
      </c>
      <c r="H49" s="20">
        <f t="shared" si="0"/>
        <v>0</v>
      </c>
      <c r="I49" s="17"/>
      <c r="J49" s="17"/>
    </row>
    <row r="50" spans="1:10">
      <c r="A50" s="16"/>
      <c r="B50" s="17"/>
      <c r="C50" s="17"/>
      <c r="D50" s="18" t="str">
        <f>IFERROR(VLOOKUP(C50,MATERIALES!$A:$B,2,0),"")</f>
        <v/>
      </c>
      <c r="E50" s="17"/>
      <c r="F50" s="18" t="str">
        <f>IFERROR(VLOOKUP(C50,MATERIALES!$A:$F,6,0),"")</f>
        <v/>
      </c>
      <c r="G50" s="19">
        <f>IFERROR(VLOOKUP(C50,MATERIALES!$A:$I,9,0),0)</f>
        <v>0</v>
      </c>
      <c r="H50" s="20">
        <f t="shared" si="0"/>
        <v>0</v>
      </c>
      <c r="I50" s="17"/>
      <c r="J50" s="17"/>
    </row>
    <row r="51" spans="1:10">
      <c r="A51" s="16"/>
      <c r="B51" s="17"/>
      <c r="C51" s="17"/>
      <c r="D51" s="18" t="str">
        <f>IFERROR(VLOOKUP(C51,MATERIALES!$A:$B,2,0),"")</f>
        <v/>
      </c>
      <c r="E51" s="17"/>
      <c r="F51" s="18" t="str">
        <f>IFERROR(VLOOKUP(C51,MATERIALES!$A:$F,6,0),"")</f>
        <v/>
      </c>
      <c r="G51" s="19">
        <f>IFERROR(VLOOKUP(C51,MATERIALES!$A:$I,9,0),0)</f>
        <v>0</v>
      </c>
      <c r="H51" s="20">
        <f t="shared" si="0"/>
        <v>0</v>
      </c>
      <c r="I51" s="17"/>
      <c r="J51" s="17"/>
    </row>
    <row r="52" spans="1:10">
      <c r="A52" s="16"/>
      <c r="B52" s="17"/>
      <c r="C52" s="17"/>
      <c r="D52" s="18" t="str">
        <f>IFERROR(VLOOKUP(C52,MATERIALES!$A:$B,2,0),"")</f>
        <v/>
      </c>
      <c r="E52" s="17"/>
      <c r="F52" s="18" t="str">
        <f>IFERROR(VLOOKUP(C52,MATERIALES!$A:$F,6,0),"")</f>
        <v/>
      </c>
      <c r="G52" s="19">
        <f>IFERROR(VLOOKUP(C52,MATERIALES!$A:$I,9,0),0)</f>
        <v>0</v>
      </c>
      <c r="H52" s="20">
        <f t="shared" si="0"/>
        <v>0</v>
      </c>
      <c r="I52" s="17"/>
      <c r="J52" s="17"/>
    </row>
    <row r="53" spans="1:10">
      <c r="A53" s="16"/>
      <c r="B53" s="17"/>
      <c r="C53" s="17"/>
      <c r="D53" s="18" t="str">
        <f>IFERROR(VLOOKUP(C53,MATERIALES!$A:$B,2,0),"")</f>
        <v/>
      </c>
      <c r="E53" s="17"/>
      <c r="F53" s="18" t="str">
        <f>IFERROR(VLOOKUP(C53,MATERIALES!$A:$F,6,0),"")</f>
        <v/>
      </c>
      <c r="G53" s="19">
        <f>IFERROR(VLOOKUP(C53,MATERIALES!$A:$I,9,0),0)</f>
        <v>0</v>
      </c>
      <c r="H53" s="20">
        <f t="shared" si="0"/>
        <v>0</v>
      </c>
      <c r="I53" s="17"/>
      <c r="J53" s="17"/>
    </row>
    <row r="54" spans="1:10">
      <c r="A54" s="16"/>
      <c r="B54" s="17"/>
      <c r="C54" s="17"/>
      <c r="D54" s="18" t="str">
        <f>IFERROR(VLOOKUP(C54,MATERIALES!$A:$B,2,0),"")</f>
        <v/>
      </c>
      <c r="E54" s="17"/>
      <c r="F54" s="18" t="str">
        <f>IFERROR(VLOOKUP(C54,MATERIALES!$A:$F,6,0),"")</f>
        <v/>
      </c>
      <c r="G54" s="19">
        <f>IFERROR(VLOOKUP(C54,MATERIALES!$A:$I,9,0),0)</f>
        <v>0</v>
      </c>
      <c r="H54" s="20">
        <f t="shared" si="0"/>
        <v>0</v>
      </c>
      <c r="I54" s="17"/>
      <c r="J54" s="17"/>
    </row>
    <row r="55" spans="1:10">
      <c r="A55" s="16"/>
      <c r="B55" s="17"/>
      <c r="C55" s="17"/>
      <c r="D55" s="18" t="str">
        <f>IFERROR(VLOOKUP(C55,MATERIALES!$A:$B,2,0),"")</f>
        <v/>
      </c>
      <c r="E55" s="17"/>
      <c r="F55" s="18" t="str">
        <f>IFERROR(VLOOKUP(C55,MATERIALES!$A:$F,6,0),"")</f>
        <v/>
      </c>
      <c r="G55" s="19">
        <f>IFERROR(VLOOKUP(C55,MATERIALES!$A:$I,9,0),0)</f>
        <v>0</v>
      </c>
      <c r="H55" s="20">
        <f t="shared" si="0"/>
        <v>0</v>
      </c>
      <c r="I55" s="17"/>
      <c r="J55" s="17"/>
    </row>
    <row r="56" spans="1:10">
      <c r="A56" s="16"/>
      <c r="B56" s="17"/>
      <c r="C56" s="17"/>
      <c r="D56" s="18" t="str">
        <f>IFERROR(VLOOKUP(C56,MATERIALES!$A:$B,2,0),"")</f>
        <v/>
      </c>
      <c r="E56" s="17"/>
      <c r="F56" s="18" t="str">
        <f>IFERROR(VLOOKUP(C56,MATERIALES!$A:$F,6,0),"")</f>
        <v/>
      </c>
      <c r="G56" s="19">
        <f>IFERROR(VLOOKUP(C56,MATERIALES!$A:$I,9,0),0)</f>
        <v>0</v>
      </c>
      <c r="H56" s="20">
        <f t="shared" si="0"/>
        <v>0</v>
      </c>
      <c r="I56" s="17"/>
      <c r="J56" s="17"/>
    </row>
    <row r="57" spans="1:10">
      <c r="A57" s="16"/>
      <c r="B57" s="17"/>
      <c r="C57" s="17"/>
      <c r="D57" s="18" t="str">
        <f>IFERROR(VLOOKUP(C57,MATERIALES!$A:$B,2,0),"")</f>
        <v/>
      </c>
      <c r="E57" s="17"/>
      <c r="F57" s="18" t="str">
        <f>IFERROR(VLOOKUP(C57,MATERIALES!$A:$F,6,0),"")</f>
        <v/>
      </c>
      <c r="G57" s="19">
        <f>IFERROR(VLOOKUP(C57,MATERIALES!$A:$I,9,0),0)</f>
        <v>0</v>
      </c>
      <c r="H57" s="20">
        <f t="shared" si="0"/>
        <v>0</v>
      </c>
      <c r="I57" s="17"/>
      <c r="J57" s="17"/>
    </row>
    <row r="58" spans="1:10">
      <c r="A58" s="16"/>
      <c r="B58" s="17"/>
      <c r="C58" s="17"/>
      <c r="D58" s="18" t="str">
        <f>IFERROR(VLOOKUP(C58,MATERIALES!$A:$B,2,0),"")</f>
        <v/>
      </c>
      <c r="E58" s="17"/>
      <c r="F58" s="18" t="str">
        <f>IFERROR(VLOOKUP(C58,MATERIALES!$A:$F,6,0),"")</f>
        <v/>
      </c>
      <c r="G58" s="19">
        <f>IFERROR(VLOOKUP(C58,MATERIALES!$A:$I,9,0),0)</f>
        <v>0</v>
      </c>
      <c r="H58" s="20">
        <f t="shared" si="0"/>
        <v>0</v>
      </c>
      <c r="I58" s="17"/>
      <c r="J58" s="17"/>
    </row>
    <row r="59" spans="1:10">
      <c r="A59" s="16"/>
      <c r="B59" s="17"/>
      <c r="C59" s="17"/>
      <c r="D59" s="18" t="str">
        <f>IFERROR(VLOOKUP(C59,MATERIALES!$A:$B,2,0),"")</f>
        <v/>
      </c>
      <c r="E59" s="17"/>
      <c r="F59" s="18" t="str">
        <f>IFERROR(VLOOKUP(C59,MATERIALES!$A:$F,6,0),"")</f>
        <v/>
      </c>
      <c r="G59" s="19">
        <f>IFERROR(VLOOKUP(C59,MATERIALES!$A:$I,9,0),0)</f>
        <v>0</v>
      </c>
      <c r="H59" s="20">
        <f t="shared" si="0"/>
        <v>0</v>
      </c>
      <c r="I59" s="17"/>
      <c r="J59" s="17"/>
    </row>
    <row r="60" spans="1:10">
      <c r="A60" s="16"/>
      <c r="B60" s="17"/>
      <c r="C60" s="17"/>
      <c r="D60" s="18" t="str">
        <f>IFERROR(VLOOKUP(C60,MATERIALES!$A:$B,2,0),"")</f>
        <v/>
      </c>
      <c r="E60" s="17"/>
      <c r="F60" s="18" t="str">
        <f>IFERROR(VLOOKUP(C60,MATERIALES!$A:$F,6,0),"")</f>
        <v/>
      </c>
      <c r="G60" s="19">
        <f>IFERROR(VLOOKUP(C60,MATERIALES!$A:$I,9,0),0)</f>
        <v>0</v>
      </c>
      <c r="H60" s="20">
        <f t="shared" si="0"/>
        <v>0</v>
      </c>
      <c r="I60" s="17"/>
      <c r="J60" s="17"/>
    </row>
    <row r="61" spans="1:10">
      <c r="A61" s="16"/>
      <c r="B61" s="17"/>
      <c r="C61" s="17"/>
      <c r="D61" s="18" t="str">
        <f>IFERROR(VLOOKUP(C61,MATERIALES!$A:$B,2,0),"")</f>
        <v/>
      </c>
      <c r="E61" s="17"/>
      <c r="F61" s="18" t="str">
        <f>IFERROR(VLOOKUP(C61,MATERIALES!$A:$F,6,0),"")</f>
        <v/>
      </c>
      <c r="G61" s="19">
        <f>IFERROR(VLOOKUP(C61,MATERIALES!$A:$I,9,0),0)</f>
        <v>0</v>
      </c>
      <c r="H61" s="20">
        <f t="shared" si="0"/>
        <v>0</v>
      </c>
      <c r="I61" s="17"/>
      <c r="J61" s="17"/>
    </row>
    <row r="62" spans="1:10">
      <c r="A62" s="16"/>
      <c r="B62" s="17"/>
      <c r="C62" s="17"/>
      <c r="D62" s="18" t="str">
        <f>IFERROR(VLOOKUP(C62,MATERIALES!$A:$B,2,0),"")</f>
        <v/>
      </c>
      <c r="E62" s="17"/>
      <c r="F62" s="18" t="str">
        <f>IFERROR(VLOOKUP(C62,MATERIALES!$A:$F,6,0),"")</f>
        <v/>
      </c>
      <c r="G62" s="19">
        <f>IFERROR(VLOOKUP(C62,MATERIALES!$A:$I,9,0),0)</f>
        <v>0</v>
      </c>
      <c r="H62" s="20">
        <f t="shared" si="0"/>
        <v>0</v>
      </c>
      <c r="I62" s="17"/>
      <c r="J62" s="17"/>
    </row>
    <row r="63" spans="1:10">
      <c r="A63" s="16"/>
      <c r="B63" s="17"/>
      <c r="C63" s="17"/>
      <c r="D63" s="18" t="str">
        <f>IFERROR(VLOOKUP(C63,MATERIALES!$A:$B,2,0),"")</f>
        <v/>
      </c>
      <c r="E63" s="17"/>
      <c r="F63" s="18" t="str">
        <f>IFERROR(VLOOKUP(C63,MATERIALES!$A:$F,6,0),"")</f>
        <v/>
      </c>
      <c r="G63" s="19">
        <f>IFERROR(VLOOKUP(C63,MATERIALES!$A:$I,9,0),0)</f>
        <v>0</v>
      </c>
      <c r="H63" s="20">
        <f t="shared" si="0"/>
        <v>0</v>
      </c>
      <c r="I63" s="17"/>
      <c r="J63" s="17"/>
    </row>
    <row r="64" spans="1:10">
      <c r="A64" s="16"/>
      <c r="B64" s="17"/>
      <c r="C64" s="17"/>
      <c r="D64" s="18" t="str">
        <f>IFERROR(VLOOKUP(C64,MATERIALES!$A:$B,2,0),"")</f>
        <v/>
      </c>
      <c r="E64" s="17"/>
      <c r="F64" s="18" t="str">
        <f>IFERROR(VLOOKUP(C64,MATERIALES!$A:$F,6,0),"")</f>
        <v/>
      </c>
      <c r="G64" s="19">
        <f>IFERROR(VLOOKUP(C64,MATERIALES!$A:$I,9,0),0)</f>
        <v>0</v>
      </c>
      <c r="H64" s="20">
        <f t="shared" si="0"/>
        <v>0</v>
      </c>
      <c r="I64" s="17"/>
      <c r="J64" s="17"/>
    </row>
    <row r="65" spans="1:10">
      <c r="A65" s="16"/>
      <c r="B65" s="17"/>
      <c r="C65" s="17"/>
      <c r="D65" s="18" t="str">
        <f>IFERROR(VLOOKUP(C65,MATERIALES!$A:$B,2,0),"")</f>
        <v/>
      </c>
      <c r="E65" s="17"/>
      <c r="F65" s="18" t="str">
        <f>IFERROR(VLOOKUP(C65,MATERIALES!$A:$F,6,0),"")</f>
        <v/>
      </c>
      <c r="G65" s="19">
        <f>IFERROR(VLOOKUP(C65,MATERIALES!$A:$I,9,0),0)</f>
        <v>0</v>
      </c>
      <c r="H65" s="20">
        <f t="shared" si="0"/>
        <v>0</v>
      </c>
      <c r="I65" s="17"/>
      <c r="J65" s="17"/>
    </row>
    <row r="66" spans="1:10">
      <c r="A66" s="16"/>
      <c r="B66" s="17"/>
      <c r="C66" s="17"/>
      <c r="D66" s="18" t="str">
        <f>IFERROR(VLOOKUP(C66,MATERIALES!$A:$B,2,0),"")</f>
        <v/>
      </c>
      <c r="E66" s="17"/>
      <c r="F66" s="18" t="str">
        <f>IFERROR(VLOOKUP(C66,MATERIALES!$A:$F,6,0),"")</f>
        <v/>
      </c>
      <c r="G66" s="19">
        <f>IFERROR(VLOOKUP(C66,MATERIALES!$A:$I,9,0),0)</f>
        <v>0</v>
      </c>
      <c r="H66" s="20">
        <f t="shared" si="0"/>
        <v>0</v>
      </c>
      <c r="I66" s="17"/>
      <c r="J66" s="17"/>
    </row>
    <row r="67" spans="1:10">
      <c r="A67" s="16"/>
      <c r="B67" s="17"/>
      <c r="C67" s="17"/>
      <c r="D67" s="18" t="str">
        <f>IFERROR(VLOOKUP(C67,MATERIALES!$A:$B,2,0),"")</f>
        <v/>
      </c>
      <c r="E67" s="17"/>
      <c r="F67" s="18" t="str">
        <f>IFERROR(VLOOKUP(C67,MATERIALES!$A:$F,6,0),"")</f>
        <v/>
      </c>
      <c r="G67" s="19">
        <f>IFERROR(VLOOKUP(C67,MATERIALES!$A:$I,9,0),0)</f>
        <v>0</v>
      </c>
      <c r="H67" s="20">
        <f t="shared" si="0"/>
        <v>0</v>
      </c>
      <c r="I67" s="17"/>
      <c r="J67" s="17"/>
    </row>
    <row r="68" spans="1:10">
      <c r="A68" s="16"/>
      <c r="B68" s="17"/>
      <c r="C68" s="17"/>
      <c r="D68" s="18" t="str">
        <f>IFERROR(VLOOKUP(C68,MATERIALES!$A:$B,2,0),"")</f>
        <v/>
      </c>
      <c r="E68" s="17"/>
      <c r="F68" s="18" t="str">
        <f>IFERROR(VLOOKUP(C68,MATERIALES!$A:$F,6,0),"")</f>
        <v/>
      </c>
      <c r="G68" s="19">
        <f>IFERROR(VLOOKUP(C68,MATERIALES!$A:$I,9,0),0)</f>
        <v>0</v>
      </c>
      <c r="H68" s="20">
        <f t="shared" si="0"/>
        <v>0</v>
      </c>
      <c r="I68" s="17"/>
      <c r="J68" s="17"/>
    </row>
    <row r="69" spans="1:10">
      <c r="A69" s="16"/>
      <c r="B69" s="17"/>
      <c r="C69" s="17"/>
      <c r="D69" s="18" t="str">
        <f>IFERROR(VLOOKUP(C69,MATERIALES!$A:$B,2,0),"")</f>
        <v/>
      </c>
      <c r="E69" s="17"/>
      <c r="F69" s="18" t="str">
        <f>IFERROR(VLOOKUP(C69,MATERIALES!$A:$F,6,0),"")</f>
        <v/>
      </c>
      <c r="G69" s="19">
        <f>IFERROR(VLOOKUP(C69,MATERIALES!$A:$I,9,0),0)</f>
        <v>0</v>
      </c>
      <c r="H69" s="20">
        <f t="shared" ref="H69:H132" si="1">IFERROR(E69*G69,0)</f>
        <v>0</v>
      </c>
      <c r="I69" s="17"/>
      <c r="J69" s="17"/>
    </row>
    <row r="70" spans="1:10">
      <c r="A70" s="16"/>
      <c r="B70" s="17"/>
      <c r="C70" s="17"/>
      <c r="D70" s="18" t="str">
        <f>IFERROR(VLOOKUP(C70,MATERIALES!$A:$B,2,0),"")</f>
        <v/>
      </c>
      <c r="E70" s="17"/>
      <c r="F70" s="18" t="str">
        <f>IFERROR(VLOOKUP(C70,MATERIALES!$A:$F,6,0),"")</f>
        <v/>
      </c>
      <c r="G70" s="19">
        <f>IFERROR(VLOOKUP(C70,MATERIALES!$A:$I,9,0),0)</f>
        <v>0</v>
      </c>
      <c r="H70" s="20">
        <f t="shared" si="1"/>
        <v>0</v>
      </c>
      <c r="I70" s="17"/>
      <c r="J70" s="17"/>
    </row>
    <row r="71" spans="1:10">
      <c r="A71" s="16"/>
      <c r="B71" s="17"/>
      <c r="C71" s="17"/>
      <c r="D71" s="18" t="str">
        <f>IFERROR(VLOOKUP(C71,MATERIALES!$A:$B,2,0),"")</f>
        <v/>
      </c>
      <c r="E71" s="17"/>
      <c r="F71" s="18" t="str">
        <f>IFERROR(VLOOKUP(C71,MATERIALES!$A:$F,6,0),"")</f>
        <v/>
      </c>
      <c r="G71" s="19">
        <f>IFERROR(VLOOKUP(C71,MATERIALES!$A:$I,9,0),0)</f>
        <v>0</v>
      </c>
      <c r="H71" s="20">
        <f t="shared" si="1"/>
        <v>0</v>
      </c>
      <c r="I71" s="17"/>
      <c r="J71" s="17"/>
    </row>
    <row r="72" spans="1:10">
      <c r="A72" s="16"/>
      <c r="B72" s="17"/>
      <c r="C72" s="17"/>
      <c r="D72" s="18" t="str">
        <f>IFERROR(VLOOKUP(C72,MATERIALES!$A:$B,2,0),"")</f>
        <v/>
      </c>
      <c r="E72" s="17"/>
      <c r="F72" s="18" t="str">
        <f>IFERROR(VLOOKUP(C72,MATERIALES!$A:$F,6,0),"")</f>
        <v/>
      </c>
      <c r="G72" s="19">
        <f>IFERROR(VLOOKUP(C72,MATERIALES!$A:$I,9,0),0)</f>
        <v>0</v>
      </c>
      <c r="H72" s="20">
        <f t="shared" si="1"/>
        <v>0</v>
      </c>
      <c r="I72" s="17"/>
      <c r="J72" s="17"/>
    </row>
    <row r="73" spans="1:10">
      <c r="A73" s="16"/>
      <c r="B73" s="17"/>
      <c r="C73" s="17"/>
      <c r="D73" s="18" t="str">
        <f>IFERROR(VLOOKUP(C73,MATERIALES!$A:$B,2,0),"")</f>
        <v/>
      </c>
      <c r="E73" s="17"/>
      <c r="F73" s="18" t="str">
        <f>IFERROR(VLOOKUP(C73,MATERIALES!$A:$F,6,0),"")</f>
        <v/>
      </c>
      <c r="G73" s="19">
        <f>IFERROR(VLOOKUP(C73,MATERIALES!$A:$I,9,0),0)</f>
        <v>0</v>
      </c>
      <c r="H73" s="20">
        <f t="shared" si="1"/>
        <v>0</v>
      </c>
      <c r="I73" s="17"/>
      <c r="J73" s="17"/>
    </row>
    <row r="74" spans="1:10">
      <c r="A74" s="16"/>
      <c r="B74" s="17"/>
      <c r="C74" s="17"/>
      <c r="D74" s="18" t="str">
        <f>IFERROR(VLOOKUP(C74,MATERIALES!$A:$B,2,0),"")</f>
        <v/>
      </c>
      <c r="E74" s="17"/>
      <c r="F74" s="18" t="str">
        <f>IFERROR(VLOOKUP(C74,MATERIALES!$A:$F,6,0),"")</f>
        <v/>
      </c>
      <c r="G74" s="19">
        <f>IFERROR(VLOOKUP(C74,MATERIALES!$A:$I,9,0),0)</f>
        <v>0</v>
      </c>
      <c r="H74" s="20">
        <f t="shared" si="1"/>
        <v>0</v>
      </c>
      <c r="I74" s="17"/>
      <c r="J74" s="17"/>
    </row>
    <row r="75" spans="1:10">
      <c r="A75" s="16"/>
      <c r="B75" s="17"/>
      <c r="C75" s="17"/>
      <c r="D75" s="18" t="str">
        <f>IFERROR(VLOOKUP(C75,MATERIALES!$A:$B,2,0),"")</f>
        <v/>
      </c>
      <c r="E75" s="17"/>
      <c r="F75" s="18" t="str">
        <f>IFERROR(VLOOKUP(C75,MATERIALES!$A:$F,6,0),"")</f>
        <v/>
      </c>
      <c r="G75" s="19">
        <f>IFERROR(VLOOKUP(C75,MATERIALES!$A:$I,9,0),0)</f>
        <v>0</v>
      </c>
      <c r="H75" s="20">
        <f t="shared" si="1"/>
        <v>0</v>
      </c>
      <c r="I75" s="17"/>
      <c r="J75" s="17"/>
    </row>
    <row r="76" spans="1:10">
      <c r="A76" s="16"/>
      <c r="B76" s="17"/>
      <c r="C76" s="17"/>
      <c r="D76" s="18" t="str">
        <f>IFERROR(VLOOKUP(C76,MATERIALES!$A:$B,2,0),"")</f>
        <v/>
      </c>
      <c r="E76" s="17"/>
      <c r="F76" s="18" t="str">
        <f>IFERROR(VLOOKUP(C76,MATERIALES!$A:$F,6,0),"")</f>
        <v/>
      </c>
      <c r="G76" s="19">
        <f>IFERROR(VLOOKUP(C76,MATERIALES!$A:$I,9,0),0)</f>
        <v>0</v>
      </c>
      <c r="H76" s="20">
        <f t="shared" si="1"/>
        <v>0</v>
      </c>
      <c r="I76" s="17"/>
      <c r="J76" s="17"/>
    </row>
    <row r="77" spans="1:10">
      <c r="A77" s="16"/>
      <c r="B77" s="17"/>
      <c r="C77" s="17"/>
      <c r="D77" s="18" t="str">
        <f>IFERROR(VLOOKUP(C77,MATERIALES!$A:$B,2,0),"")</f>
        <v/>
      </c>
      <c r="E77" s="17"/>
      <c r="F77" s="18" t="str">
        <f>IFERROR(VLOOKUP(C77,MATERIALES!$A:$F,6,0),"")</f>
        <v/>
      </c>
      <c r="G77" s="19">
        <f>IFERROR(VLOOKUP(C77,MATERIALES!$A:$I,9,0),0)</f>
        <v>0</v>
      </c>
      <c r="H77" s="20">
        <f t="shared" si="1"/>
        <v>0</v>
      </c>
      <c r="I77" s="17"/>
      <c r="J77" s="17"/>
    </row>
    <row r="78" spans="1:10">
      <c r="A78" s="16"/>
      <c r="B78" s="17"/>
      <c r="C78" s="17"/>
      <c r="D78" s="18" t="str">
        <f>IFERROR(VLOOKUP(C78,MATERIALES!$A:$B,2,0),"")</f>
        <v/>
      </c>
      <c r="E78" s="17"/>
      <c r="F78" s="18" t="str">
        <f>IFERROR(VLOOKUP(C78,MATERIALES!$A:$F,6,0),"")</f>
        <v/>
      </c>
      <c r="G78" s="19">
        <f>IFERROR(VLOOKUP(C78,MATERIALES!$A:$I,9,0),0)</f>
        <v>0</v>
      </c>
      <c r="H78" s="20">
        <f t="shared" si="1"/>
        <v>0</v>
      </c>
      <c r="I78" s="17"/>
      <c r="J78" s="17"/>
    </row>
    <row r="79" spans="1:10">
      <c r="A79" s="16"/>
      <c r="B79" s="17"/>
      <c r="C79" s="17"/>
      <c r="D79" s="18" t="str">
        <f>IFERROR(VLOOKUP(C79,MATERIALES!$A:$B,2,0),"")</f>
        <v/>
      </c>
      <c r="E79" s="17"/>
      <c r="F79" s="18" t="str">
        <f>IFERROR(VLOOKUP(C79,MATERIALES!$A:$F,6,0),"")</f>
        <v/>
      </c>
      <c r="G79" s="19">
        <f>IFERROR(VLOOKUP(C79,MATERIALES!$A:$I,9,0),0)</f>
        <v>0</v>
      </c>
      <c r="H79" s="20">
        <f t="shared" si="1"/>
        <v>0</v>
      </c>
      <c r="I79" s="17"/>
      <c r="J79" s="17"/>
    </row>
    <row r="80" spans="1:10">
      <c r="A80" s="16"/>
      <c r="B80" s="17"/>
      <c r="C80" s="17"/>
      <c r="D80" s="18" t="str">
        <f>IFERROR(VLOOKUP(C80,MATERIALES!$A:$B,2,0),"")</f>
        <v/>
      </c>
      <c r="E80" s="17"/>
      <c r="F80" s="18" t="str">
        <f>IFERROR(VLOOKUP(C80,MATERIALES!$A:$F,6,0),"")</f>
        <v/>
      </c>
      <c r="G80" s="19">
        <f>IFERROR(VLOOKUP(C80,MATERIALES!$A:$I,9,0),0)</f>
        <v>0</v>
      </c>
      <c r="H80" s="20">
        <f t="shared" si="1"/>
        <v>0</v>
      </c>
      <c r="I80" s="17"/>
      <c r="J80" s="17"/>
    </row>
    <row r="81" spans="1:10">
      <c r="A81" s="16"/>
      <c r="B81" s="17"/>
      <c r="C81" s="17"/>
      <c r="D81" s="18" t="str">
        <f>IFERROR(VLOOKUP(C81,MATERIALES!$A:$B,2,0),"")</f>
        <v/>
      </c>
      <c r="E81" s="17"/>
      <c r="F81" s="18" t="str">
        <f>IFERROR(VLOOKUP(C81,MATERIALES!$A:$F,6,0),"")</f>
        <v/>
      </c>
      <c r="G81" s="19">
        <f>IFERROR(VLOOKUP(C81,MATERIALES!$A:$I,9,0),0)</f>
        <v>0</v>
      </c>
      <c r="H81" s="20">
        <f t="shared" si="1"/>
        <v>0</v>
      </c>
      <c r="I81" s="17"/>
      <c r="J81" s="17"/>
    </row>
    <row r="82" spans="1:10">
      <c r="A82" s="16"/>
      <c r="B82" s="17"/>
      <c r="C82" s="17"/>
      <c r="D82" s="18" t="str">
        <f>IFERROR(VLOOKUP(C82,MATERIALES!$A:$B,2,0),"")</f>
        <v/>
      </c>
      <c r="E82" s="17"/>
      <c r="F82" s="18" t="str">
        <f>IFERROR(VLOOKUP(C82,MATERIALES!$A:$F,6,0),"")</f>
        <v/>
      </c>
      <c r="G82" s="19">
        <f>IFERROR(VLOOKUP(C82,MATERIALES!$A:$I,9,0),0)</f>
        <v>0</v>
      </c>
      <c r="H82" s="20">
        <f t="shared" si="1"/>
        <v>0</v>
      </c>
      <c r="I82" s="17"/>
      <c r="J82" s="17"/>
    </row>
    <row r="83" spans="1:10">
      <c r="A83" s="16"/>
      <c r="B83" s="17"/>
      <c r="C83" s="17"/>
      <c r="D83" s="18" t="str">
        <f>IFERROR(VLOOKUP(C83,MATERIALES!$A:$B,2,0),"")</f>
        <v/>
      </c>
      <c r="E83" s="17"/>
      <c r="F83" s="18" t="str">
        <f>IFERROR(VLOOKUP(C83,MATERIALES!$A:$F,6,0),"")</f>
        <v/>
      </c>
      <c r="G83" s="19">
        <f>IFERROR(VLOOKUP(C83,MATERIALES!$A:$I,9,0),0)</f>
        <v>0</v>
      </c>
      <c r="H83" s="20">
        <f t="shared" si="1"/>
        <v>0</v>
      </c>
      <c r="I83" s="17"/>
      <c r="J83" s="17"/>
    </row>
    <row r="84" spans="1:10">
      <c r="A84" s="16"/>
      <c r="B84" s="17"/>
      <c r="C84" s="17"/>
      <c r="D84" s="18" t="str">
        <f>IFERROR(VLOOKUP(C84,MATERIALES!$A:$B,2,0),"")</f>
        <v/>
      </c>
      <c r="E84" s="17"/>
      <c r="F84" s="18" t="str">
        <f>IFERROR(VLOOKUP(C84,MATERIALES!$A:$F,6,0),"")</f>
        <v/>
      </c>
      <c r="G84" s="19">
        <f>IFERROR(VLOOKUP(C84,MATERIALES!$A:$I,9,0),0)</f>
        <v>0</v>
      </c>
      <c r="H84" s="20">
        <f t="shared" si="1"/>
        <v>0</v>
      </c>
      <c r="I84" s="17"/>
      <c r="J84" s="17"/>
    </row>
    <row r="85" spans="1:10">
      <c r="A85" s="16"/>
      <c r="B85" s="17"/>
      <c r="C85" s="17"/>
      <c r="D85" s="18" t="str">
        <f>IFERROR(VLOOKUP(C85,MATERIALES!$A:$B,2,0),"")</f>
        <v/>
      </c>
      <c r="E85" s="17"/>
      <c r="F85" s="18" t="str">
        <f>IFERROR(VLOOKUP(C85,MATERIALES!$A:$F,6,0),"")</f>
        <v/>
      </c>
      <c r="G85" s="19">
        <f>IFERROR(VLOOKUP(C85,MATERIALES!$A:$I,9,0),0)</f>
        <v>0</v>
      </c>
      <c r="H85" s="20">
        <f t="shared" si="1"/>
        <v>0</v>
      </c>
      <c r="I85" s="17"/>
      <c r="J85" s="17"/>
    </row>
    <row r="86" spans="1:10">
      <c r="A86" s="16"/>
      <c r="B86" s="17"/>
      <c r="C86" s="17"/>
      <c r="D86" s="18" t="str">
        <f>IFERROR(VLOOKUP(C86,MATERIALES!$A:$B,2,0),"")</f>
        <v/>
      </c>
      <c r="E86" s="17"/>
      <c r="F86" s="18" t="str">
        <f>IFERROR(VLOOKUP(C86,MATERIALES!$A:$F,6,0),"")</f>
        <v/>
      </c>
      <c r="G86" s="19">
        <f>IFERROR(VLOOKUP(C86,MATERIALES!$A:$I,9,0),0)</f>
        <v>0</v>
      </c>
      <c r="H86" s="20">
        <f t="shared" si="1"/>
        <v>0</v>
      </c>
      <c r="I86" s="17"/>
      <c r="J86" s="17"/>
    </row>
    <row r="87" spans="1:10">
      <c r="A87" s="16"/>
      <c r="B87" s="17"/>
      <c r="C87" s="17"/>
      <c r="D87" s="18" t="str">
        <f>IFERROR(VLOOKUP(C87,MATERIALES!$A:$B,2,0),"")</f>
        <v/>
      </c>
      <c r="E87" s="17"/>
      <c r="F87" s="18" t="str">
        <f>IFERROR(VLOOKUP(C87,MATERIALES!$A:$F,6,0),"")</f>
        <v/>
      </c>
      <c r="G87" s="19">
        <f>IFERROR(VLOOKUP(C87,MATERIALES!$A:$I,9,0),0)</f>
        <v>0</v>
      </c>
      <c r="H87" s="20">
        <f t="shared" si="1"/>
        <v>0</v>
      </c>
      <c r="I87" s="17"/>
      <c r="J87" s="17"/>
    </row>
    <row r="88" spans="1:10">
      <c r="A88" s="16"/>
      <c r="B88" s="17"/>
      <c r="C88" s="17"/>
      <c r="D88" s="18" t="str">
        <f>IFERROR(VLOOKUP(C88,MATERIALES!$A:$B,2,0),"")</f>
        <v/>
      </c>
      <c r="E88" s="17"/>
      <c r="F88" s="18" t="str">
        <f>IFERROR(VLOOKUP(C88,MATERIALES!$A:$F,6,0),"")</f>
        <v/>
      </c>
      <c r="G88" s="19">
        <f>IFERROR(VLOOKUP(C88,MATERIALES!$A:$I,9,0),0)</f>
        <v>0</v>
      </c>
      <c r="H88" s="20">
        <f t="shared" si="1"/>
        <v>0</v>
      </c>
      <c r="I88" s="17"/>
      <c r="J88" s="17"/>
    </row>
    <row r="89" spans="1:10">
      <c r="A89" s="16"/>
      <c r="B89" s="17"/>
      <c r="C89" s="17"/>
      <c r="D89" s="18" t="str">
        <f>IFERROR(VLOOKUP(C89,MATERIALES!$A:$B,2,0),"")</f>
        <v/>
      </c>
      <c r="E89" s="17"/>
      <c r="F89" s="18" t="str">
        <f>IFERROR(VLOOKUP(C89,MATERIALES!$A:$F,6,0),"")</f>
        <v/>
      </c>
      <c r="G89" s="19">
        <f>IFERROR(VLOOKUP(C89,MATERIALES!$A:$I,9,0),0)</f>
        <v>0</v>
      </c>
      <c r="H89" s="20">
        <f t="shared" si="1"/>
        <v>0</v>
      </c>
      <c r="I89" s="17"/>
      <c r="J89" s="17"/>
    </row>
    <row r="90" spans="1:10">
      <c r="A90" s="16"/>
      <c r="B90" s="17"/>
      <c r="C90" s="17"/>
      <c r="D90" s="18" t="str">
        <f>IFERROR(VLOOKUP(C90,MATERIALES!$A:$B,2,0),"")</f>
        <v/>
      </c>
      <c r="E90" s="17"/>
      <c r="F90" s="18" t="str">
        <f>IFERROR(VLOOKUP(C90,MATERIALES!$A:$F,6,0),"")</f>
        <v/>
      </c>
      <c r="G90" s="19">
        <f>IFERROR(VLOOKUP(C90,MATERIALES!$A:$I,9,0),0)</f>
        <v>0</v>
      </c>
      <c r="H90" s="20">
        <f t="shared" si="1"/>
        <v>0</v>
      </c>
      <c r="I90" s="17"/>
      <c r="J90" s="17"/>
    </row>
    <row r="91" spans="1:10">
      <c r="A91" s="16"/>
      <c r="B91" s="17"/>
      <c r="C91" s="17"/>
      <c r="D91" s="18" t="str">
        <f>IFERROR(VLOOKUP(C91,MATERIALES!$A:$B,2,0),"")</f>
        <v/>
      </c>
      <c r="E91" s="17"/>
      <c r="F91" s="18" t="str">
        <f>IFERROR(VLOOKUP(C91,MATERIALES!$A:$F,6,0),"")</f>
        <v/>
      </c>
      <c r="G91" s="19">
        <f>IFERROR(VLOOKUP(C91,MATERIALES!$A:$I,9,0),0)</f>
        <v>0</v>
      </c>
      <c r="H91" s="20">
        <f t="shared" si="1"/>
        <v>0</v>
      </c>
      <c r="I91" s="17"/>
      <c r="J91" s="17"/>
    </row>
    <row r="92" spans="1:10">
      <c r="A92" s="16"/>
      <c r="B92" s="17"/>
      <c r="C92" s="17"/>
      <c r="D92" s="18" t="str">
        <f>IFERROR(VLOOKUP(C92,MATERIALES!$A:$B,2,0),"")</f>
        <v/>
      </c>
      <c r="E92" s="17"/>
      <c r="F92" s="18" t="str">
        <f>IFERROR(VLOOKUP(C92,MATERIALES!$A:$F,6,0),"")</f>
        <v/>
      </c>
      <c r="G92" s="19">
        <f>IFERROR(VLOOKUP(C92,MATERIALES!$A:$I,9,0),0)</f>
        <v>0</v>
      </c>
      <c r="H92" s="20">
        <f t="shared" si="1"/>
        <v>0</v>
      </c>
      <c r="I92" s="17"/>
      <c r="J92" s="17"/>
    </row>
    <row r="93" spans="1:10">
      <c r="A93" s="16"/>
      <c r="B93" s="17"/>
      <c r="C93" s="17"/>
      <c r="D93" s="18" t="str">
        <f>IFERROR(VLOOKUP(C93,MATERIALES!$A:$B,2,0),"")</f>
        <v/>
      </c>
      <c r="E93" s="17"/>
      <c r="F93" s="18" t="str">
        <f>IFERROR(VLOOKUP(C93,MATERIALES!$A:$F,6,0),"")</f>
        <v/>
      </c>
      <c r="G93" s="19">
        <f>IFERROR(VLOOKUP(C93,MATERIALES!$A:$I,9,0),0)</f>
        <v>0</v>
      </c>
      <c r="H93" s="20">
        <f t="shared" si="1"/>
        <v>0</v>
      </c>
      <c r="I93" s="17"/>
      <c r="J93" s="17"/>
    </row>
    <row r="94" spans="1:10">
      <c r="A94" s="16"/>
      <c r="B94" s="17"/>
      <c r="C94" s="17"/>
      <c r="D94" s="18" t="str">
        <f>IFERROR(VLOOKUP(C94,MATERIALES!$A:$B,2,0),"")</f>
        <v/>
      </c>
      <c r="E94" s="17"/>
      <c r="F94" s="18" t="str">
        <f>IFERROR(VLOOKUP(C94,MATERIALES!$A:$F,6,0),"")</f>
        <v/>
      </c>
      <c r="G94" s="19">
        <f>IFERROR(VLOOKUP(C94,MATERIALES!$A:$I,9,0),0)</f>
        <v>0</v>
      </c>
      <c r="H94" s="20">
        <f t="shared" si="1"/>
        <v>0</v>
      </c>
      <c r="I94" s="17"/>
      <c r="J94" s="17"/>
    </row>
    <row r="95" spans="1:10">
      <c r="A95" s="16"/>
      <c r="B95" s="17"/>
      <c r="C95" s="17"/>
      <c r="D95" s="18" t="str">
        <f>IFERROR(VLOOKUP(C95,MATERIALES!$A:$B,2,0),"")</f>
        <v/>
      </c>
      <c r="E95" s="17"/>
      <c r="F95" s="18" t="str">
        <f>IFERROR(VLOOKUP(C95,MATERIALES!$A:$F,6,0),"")</f>
        <v/>
      </c>
      <c r="G95" s="19">
        <f>IFERROR(VLOOKUP(C95,MATERIALES!$A:$I,9,0),0)</f>
        <v>0</v>
      </c>
      <c r="H95" s="20">
        <f t="shared" si="1"/>
        <v>0</v>
      </c>
      <c r="I95" s="17"/>
      <c r="J95" s="17"/>
    </row>
    <row r="96" spans="1:10">
      <c r="A96" s="16"/>
      <c r="B96" s="17"/>
      <c r="C96" s="17"/>
      <c r="D96" s="18" t="str">
        <f>IFERROR(VLOOKUP(C96,MATERIALES!$A:$B,2,0),"")</f>
        <v/>
      </c>
      <c r="E96" s="17"/>
      <c r="F96" s="18" t="str">
        <f>IFERROR(VLOOKUP(C96,MATERIALES!$A:$F,6,0),"")</f>
        <v/>
      </c>
      <c r="G96" s="19">
        <f>IFERROR(VLOOKUP(C96,MATERIALES!$A:$I,9,0),0)</f>
        <v>0</v>
      </c>
      <c r="H96" s="20">
        <f t="shared" si="1"/>
        <v>0</v>
      </c>
      <c r="I96" s="17"/>
      <c r="J96" s="17"/>
    </row>
    <row r="97" spans="1:10">
      <c r="A97" s="16"/>
      <c r="B97" s="17"/>
      <c r="C97" s="17"/>
      <c r="D97" s="18" t="str">
        <f>IFERROR(VLOOKUP(C97,MATERIALES!$A:$B,2,0),"")</f>
        <v/>
      </c>
      <c r="E97" s="17"/>
      <c r="F97" s="18" t="str">
        <f>IFERROR(VLOOKUP(C97,MATERIALES!$A:$F,6,0),"")</f>
        <v/>
      </c>
      <c r="G97" s="19">
        <f>IFERROR(VLOOKUP(C97,MATERIALES!$A:$I,9,0),0)</f>
        <v>0</v>
      </c>
      <c r="H97" s="20">
        <f t="shared" si="1"/>
        <v>0</v>
      </c>
      <c r="I97" s="17"/>
      <c r="J97" s="17"/>
    </row>
    <row r="98" spans="1:10">
      <c r="A98" s="16"/>
      <c r="B98" s="17"/>
      <c r="C98" s="17"/>
      <c r="D98" s="18" t="str">
        <f>IFERROR(VLOOKUP(C98,MATERIALES!$A:$B,2,0),"")</f>
        <v/>
      </c>
      <c r="E98" s="17"/>
      <c r="F98" s="18" t="str">
        <f>IFERROR(VLOOKUP(C98,MATERIALES!$A:$F,6,0),"")</f>
        <v/>
      </c>
      <c r="G98" s="19">
        <f>IFERROR(VLOOKUP(C98,MATERIALES!$A:$I,9,0),0)</f>
        <v>0</v>
      </c>
      <c r="H98" s="20">
        <f t="shared" si="1"/>
        <v>0</v>
      </c>
      <c r="I98" s="17"/>
      <c r="J98" s="17"/>
    </row>
    <row r="99" spans="1:10">
      <c r="A99" s="16"/>
      <c r="B99" s="17"/>
      <c r="C99" s="17"/>
      <c r="D99" s="18" t="str">
        <f>IFERROR(VLOOKUP(C99,MATERIALES!$A:$B,2,0),"")</f>
        <v/>
      </c>
      <c r="E99" s="17"/>
      <c r="F99" s="18" t="str">
        <f>IFERROR(VLOOKUP(C99,MATERIALES!$A:$F,6,0),"")</f>
        <v/>
      </c>
      <c r="G99" s="19">
        <f>IFERROR(VLOOKUP(C99,MATERIALES!$A:$I,9,0),0)</f>
        <v>0</v>
      </c>
      <c r="H99" s="20">
        <f t="shared" si="1"/>
        <v>0</v>
      </c>
      <c r="I99" s="17"/>
      <c r="J99" s="17"/>
    </row>
    <row r="100" spans="1:10">
      <c r="A100" s="16"/>
      <c r="B100" s="17"/>
      <c r="C100" s="17"/>
      <c r="D100" s="18" t="str">
        <f>IFERROR(VLOOKUP(C100,MATERIALES!$A:$B,2,0),"")</f>
        <v/>
      </c>
      <c r="E100" s="17"/>
      <c r="F100" s="18" t="str">
        <f>IFERROR(VLOOKUP(C100,MATERIALES!$A:$F,6,0),"")</f>
        <v/>
      </c>
      <c r="G100" s="19">
        <f>IFERROR(VLOOKUP(C100,MATERIALES!$A:$I,9,0),0)</f>
        <v>0</v>
      </c>
      <c r="H100" s="20">
        <f t="shared" si="1"/>
        <v>0</v>
      </c>
      <c r="I100" s="17"/>
      <c r="J100" s="17"/>
    </row>
    <row r="101" spans="1:10">
      <c r="A101" s="16"/>
      <c r="B101" s="17"/>
      <c r="C101" s="17"/>
      <c r="D101" s="18" t="str">
        <f>IFERROR(VLOOKUP(C101,MATERIALES!$A:$B,2,0),"")</f>
        <v/>
      </c>
      <c r="E101" s="17"/>
      <c r="F101" s="18" t="str">
        <f>IFERROR(VLOOKUP(C101,MATERIALES!$A:$F,6,0),"")</f>
        <v/>
      </c>
      <c r="G101" s="19">
        <f>IFERROR(VLOOKUP(C101,MATERIALES!$A:$I,9,0),0)</f>
        <v>0</v>
      </c>
      <c r="H101" s="20">
        <f t="shared" si="1"/>
        <v>0</v>
      </c>
      <c r="I101" s="17"/>
      <c r="J101" s="17"/>
    </row>
    <row r="102" spans="1:10">
      <c r="A102" s="16"/>
      <c r="B102" s="17"/>
      <c r="C102" s="17"/>
      <c r="D102" s="18" t="str">
        <f>IFERROR(VLOOKUP(C102,MATERIALES!$A:$B,2,0),"")</f>
        <v/>
      </c>
      <c r="E102" s="17"/>
      <c r="F102" s="18" t="str">
        <f>IFERROR(VLOOKUP(C102,MATERIALES!$A:$F,6,0),"")</f>
        <v/>
      </c>
      <c r="G102" s="19">
        <f>IFERROR(VLOOKUP(C102,MATERIALES!$A:$I,9,0),0)</f>
        <v>0</v>
      </c>
      <c r="H102" s="20">
        <f t="shared" si="1"/>
        <v>0</v>
      </c>
      <c r="I102" s="17"/>
      <c r="J102" s="17"/>
    </row>
    <row r="103" spans="1:10">
      <c r="A103" s="16"/>
      <c r="B103" s="17"/>
      <c r="C103" s="17"/>
      <c r="D103" s="18" t="str">
        <f>IFERROR(VLOOKUP(C103,MATERIALES!$A:$B,2,0),"")</f>
        <v/>
      </c>
      <c r="E103" s="17"/>
      <c r="F103" s="18" t="str">
        <f>IFERROR(VLOOKUP(C103,MATERIALES!$A:$F,6,0),"")</f>
        <v/>
      </c>
      <c r="G103" s="19">
        <f>IFERROR(VLOOKUP(C103,MATERIALES!$A:$I,9,0),0)</f>
        <v>0</v>
      </c>
      <c r="H103" s="20">
        <f t="shared" si="1"/>
        <v>0</v>
      </c>
      <c r="I103" s="17"/>
      <c r="J103" s="17"/>
    </row>
    <row r="104" spans="1:10">
      <c r="A104" s="16"/>
      <c r="B104" s="17"/>
      <c r="C104" s="17"/>
      <c r="D104" s="18" t="str">
        <f>IFERROR(VLOOKUP(C104,MATERIALES!$A:$B,2,0),"")</f>
        <v/>
      </c>
      <c r="E104" s="17"/>
      <c r="F104" s="18" t="str">
        <f>IFERROR(VLOOKUP(C104,MATERIALES!$A:$F,6,0),"")</f>
        <v/>
      </c>
      <c r="G104" s="19">
        <f>IFERROR(VLOOKUP(C104,MATERIALES!$A:$I,9,0),0)</f>
        <v>0</v>
      </c>
      <c r="H104" s="20">
        <f t="shared" si="1"/>
        <v>0</v>
      </c>
      <c r="I104" s="17"/>
      <c r="J104" s="17"/>
    </row>
    <row r="105" spans="1:10">
      <c r="A105" s="16"/>
      <c r="B105" s="17"/>
      <c r="C105" s="17"/>
      <c r="D105" s="18" t="str">
        <f>IFERROR(VLOOKUP(C105,MATERIALES!$A:$B,2,0),"")</f>
        <v/>
      </c>
      <c r="E105" s="17"/>
      <c r="F105" s="18" t="str">
        <f>IFERROR(VLOOKUP(C105,MATERIALES!$A:$F,6,0),"")</f>
        <v/>
      </c>
      <c r="G105" s="19">
        <f>IFERROR(VLOOKUP(C105,MATERIALES!$A:$I,9,0),0)</f>
        <v>0</v>
      </c>
      <c r="H105" s="20">
        <f t="shared" si="1"/>
        <v>0</v>
      </c>
      <c r="I105" s="17"/>
      <c r="J105" s="17"/>
    </row>
    <row r="106" spans="1:10">
      <c r="A106" s="16"/>
      <c r="B106" s="17"/>
      <c r="C106" s="17"/>
      <c r="D106" s="18" t="str">
        <f>IFERROR(VLOOKUP(C106,MATERIALES!$A:$B,2,0),"")</f>
        <v/>
      </c>
      <c r="E106" s="17"/>
      <c r="F106" s="18" t="str">
        <f>IFERROR(VLOOKUP(C106,MATERIALES!$A:$F,6,0),"")</f>
        <v/>
      </c>
      <c r="G106" s="19">
        <f>IFERROR(VLOOKUP(C106,MATERIALES!$A:$I,9,0),0)</f>
        <v>0</v>
      </c>
      <c r="H106" s="20">
        <f t="shared" si="1"/>
        <v>0</v>
      </c>
      <c r="I106" s="17"/>
      <c r="J106" s="17"/>
    </row>
    <row r="107" spans="1:10">
      <c r="A107" s="16"/>
      <c r="B107" s="17"/>
      <c r="C107" s="17"/>
      <c r="D107" s="18" t="str">
        <f>IFERROR(VLOOKUP(C107,MATERIALES!$A:$B,2,0),"")</f>
        <v/>
      </c>
      <c r="E107" s="17"/>
      <c r="F107" s="18" t="str">
        <f>IFERROR(VLOOKUP(C107,MATERIALES!$A:$F,6,0),"")</f>
        <v/>
      </c>
      <c r="G107" s="19">
        <f>IFERROR(VLOOKUP(C107,MATERIALES!$A:$I,9,0),0)</f>
        <v>0</v>
      </c>
      <c r="H107" s="20">
        <f t="shared" si="1"/>
        <v>0</v>
      </c>
      <c r="I107" s="17"/>
      <c r="J107" s="17"/>
    </row>
    <row r="108" spans="1:10">
      <c r="A108" s="16"/>
      <c r="B108" s="17"/>
      <c r="C108" s="17"/>
      <c r="D108" s="18" t="str">
        <f>IFERROR(VLOOKUP(C108,MATERIALES!$A:$B,2,0),"")</f>
        <v/>
      </c>
      <c r="E108" s="17"/>
      <c r="F108" s="18" t="str">
        <f>IFERROR(VLOOKUP(C108,MATERIALES!$A:$F,6,0),"")</f>
        <v/>
      </c>
      <c r="G108" s="19">
        <f>IFERROR(VLOOKUP(C108,MATERIALES!$A:$I,9,0),0)</f>
        <v>0</v>
      </c>
      <c r="H108" s="20">
        <f t="shared" si="1"/>
        <v>0</v>
      </c>
      <c r="I108" s="17"/>
      <c r="J108" s="17"/>
    </row>
    <row r="109" spans="1:10">
      <c r="A109" s="16"/>
      <c r="B109" s="17"/>
      <c r="C109" s="17"/>
      <c r="D109" s="18" t="str">
        <f>IFERROR(VLOOKUP(C109,MATERIALES!$A:$B,2,0),"")</f>
        <v/>
      </c>
      <c r="E109" s="17"/>
      <c r="F109" s="18" t="str">
        <f>IFERROR(VLOOKUP(C109,MATERIALES!$A:$F,6,0),"")</f>
        <v/>
      </c>
      <c r="G109" s="19">
        <f>IFERROR(VLOOKUP(C109,MATERIALES!$A:$I,9,0),0)</f>
        <v>0</v>
      </c>
      <c r="H109" s="20">
        <f t="shared" si="1"/>
        <v>0</v>
      </c>
      <c r="I109" s="17"/>
      <c r="J109" s="17"/>
    </row>
    <row r="110" spans="1:10">
      <c r="A110" s="16"/>
      <c r="B110" s="17"/>
      <c r="C110" s="17"/>
      <c r="D110" s="18" t="str">
        <f>IFERROR(VLOOKUP(C110,MATERIALES!$A:$B,2,0),"")</f>
        <v/>
      </c>
      <c r="E110" s="17"/>
      <c r="F110" s="18" t="str">
        <f>IFERROR(VLOOKUP(C110,MATERIALES!$A:$F,6,0),"")</f>
        <v/>
      </c>
      <c r="G110" s="19">
        <f>IFERROR(VLOOKUP(C110,MATERIALES!$A:$I,9,0),0)</f>
        <v>0</v>
      </c>
      <c r="H110" s="20">
        <f t="shared" si="1"/>
        <v>0</v>
      </c>
      <c r="I110" s="17"/>
      <c r="J110" s="17"/>
    </row>
    <row r="111" spans="1:10">
      <c r="A111" s="16"/>
      <c r="B111" s="17"/>
      <c r="C111" s="17"/>
      <c r="D111" s="18" t="str">
        <f>IFERROR(VLOOKUP(C111,MATERIALES!$A:$B,2,0),"")</f>
        <v/>
      </c>
      <c r="E111" s="17"/>
      <c r="F111" s="18" t="str">
        <f>IFERROR(VLOOKUP(C111,MATERIALES!$A:$F,6,0),"")</f>
        <v/>
      </c>
      <c r="G111" s="19">
        <f>IFERROR(VLOOKUP(C111,MATERIALES!$A:$I,9,0),0)</f>
        <v>0</v>
      </c>
      <c r="H111" s="20">
        <f t="shared" si="1"/>
        <v>0</v>
      </c>
      <c r="I111" s="17"/>
      <c r="J111" s="17"/>
    </row>
    <row r="112" spans="1:10">
      <c r="A112" s="16"/>
      <c r="B112" s="17"/>
      <c r="C112" s="17"/>
      <c r="D112" s="18" t="str">
        <f>IFERROR(VLOOKUP(C112,MATERIALES!$A:$B,2,0),"")</f>
        <v/>
      </c>
      <c r="E112" s="17"/>
      <c r="F112" s="18" t="str">
        <f>IFERROR(VLOOKUP(C112,MATERIALES!$A:$F,6,0),"")</f>
        <v/>
      </c>
      <c r="G112" s="19">
        <f>IFERROR(VLOOKUP(C112,MATERIALES!$A:$I,9,0),0)</f>
        <v>0</v>
      </c>
      <c r="H112" s="20">
        <f t="shared" si="1"/>
        <v>0</v>
      </c>
      <c r="I112" s="17"/>
      <c r="J112" s="17"/>
    </row>
    <row r="113" spans="1:10">
      <c r="A113" s="16"/>
      <c r="B113" s="17"/>
      <c r="C113" s="17"/>
      <c r="D113" s="18" t="str">
        <f>IFERROR(VLOOKUP(C113,MATERIALES!$A:$B,2,0),"")</f>
        <v/>
      </c>
      <c r="E113" s="17"/>
      <c r="F113" s="18" t="str">
        <f>IFERROR(VLOOKUP(C113,MATERIALES!$A:$F,6,0),"")</f>
        <v/>
      </c>
      <c r="G113" s="19">
        <f>IFERROR(VLOOKUP(C113,MATERIALES!$A:$I,9,0),0)</f>
        <v>0</v>
      </c>
      <c r="H113" s="20">
        <f t="shared" si="1"/>
        <v>0</v>
      </c>
      <c r="I113" s="17"/>
      <c r="J113" s="17"/>
    </row>
    <row r="114" spans="1:10">
      <c r="A114" s="16"/>
      <c r="B114" s="17"/>
      <c r="C114" s="17"/>
      <c r="D114" s="18" t="str">
        <f>IFERROR(VLOOKUP(C114,MATERIALES!$A:$B,2,0),"")</f>
        <v/>
      </c>
      <c r="E114" s="17"/>
      <c r="F114" s="18" t="str">
        <f>IFERROR(VLOOKUP(C114,MATERIALES!$A:$F,6,0),"")</f>
        <v/>
      </c>
      <c r="G114" s="19">
        <f>IFERROR(VLOOKUP(C114,MATERIALES!$A:$I,9,0),0)</f>
        <v>0</v>
      </c>
      <c r="H114" s="20">
        <f t="shared" si="1"/>
        <v>0</v>
      </c>
      <c r="I114" s="17"/>
      <c r="J114" s="17"/>
    </row>
    <row r="115" spans="1:10">
      <c r="A115" s="16"/>
      <c r="B115" s="17"/>
      <c r="C115" s="17"/>
      <c r="D115" s="18" t="str">
        <f>IFERROR(VLOOKUP(C115,MATERIALES!$A:$B,2,0),"")</f>
        <v/>
      </c>
      <c r="E115" s="17"/>
      <c r="F115" s="18" t="str">
        <f>IFERROR(VLOOKUP(C115,MATERIALES!$A:$F,6,0),"")</f>
        <v/>
      </c>
      <c r="G115" s="19">
        <f>IFERROR(VLOOKUP(C115,MATERIALES!$A:$I,9,0),0)</f>
        <v>0</v>
      </c>
      <c r="H115" s="20">
        <f t="shared" si="1"/>
        <v>0</v>
      </c>
      <c r="I115" s="17"/>
      <c r="J115" s="17"/>
    </row>
    <row r="116" spans="1:10">
      <c r="A116" s="16"/>
      <c r="B116" s="17"/>
      <c r="C116" s="17"/>
      <c r="D116" s="18" t="str">
        <f>IFERROR(VLOOKUP(C116,MATERIALES!$A:$B,2,0),"")</f>
        <v/>
      </c>
      <c r="E116" s="17"/>
      <c r="F116" s="18" t="str">
        <f>IFERROR(VLOOKUP(C116,MATERIALES!$A:$F,6,0),"")</f>
        <v/>
      </c>
      <c r="G116" s="19">
        <f>IFERROR(VLOOKUP(C116,MATERIALES!$A:$I,9,0),0)</f>
        <v>0</v>
      </c>
      <c r="H116" s="20">
        <f t="shared" si="1"/>
        <v>0</v>
      </c>
      <c r="I116" s="17"/>
      <c r="J116" s="17"/>
    </row>
    <row r="117" spans="1:10">
      <c r="A117" s="16"/>
      <c r="B117" s="17"/>
      <c r="C117" s="17"/>
      <c r="D117" s="18" t="str">
        <f>IFERROR(VLOOKUP(C117,MATERIALES!$A:$B,2,0),"")</f>
        <v/>
      </c>
      <c r="E117" s="17"/>
      <c r="F117" s="18" t="str">
        <f>IFERROR(VLOOKUP(C117,MATERIALES!$A:$F,6,0),"")</f>
        <v/>
      </c>
      <c r="G117" s="19">
        <f>IFERROR(VLOOKUP(C117,MATERIALES!$A:$I,9,0),0)</f>
        <v>0</v>
      </c>
      <c r="H117" s="20">
        <f t="shared" si="1"/>
        <v>0</v>
      </c>
      <c r="I117" s="17"/>
      <c r="J117" s="17"/>
    </row>
    <row r="118" spans="1:10">
      <c r="A118" s="16"/>
      <c r="B118" s="17"/>
      <c r="C118" s="17"/>
      <c r="D118" s="18" t="str">
        <f>IFERROR(VLOOKUP(C118,MATERIALES!$A:$B,2,0),"")</f>
        <v/>
      </c>
      <c r="E118" s="17"/>
      <c r="F118" s="18" t="str">
        <f>IFERROR(VLOOKUP(C118,MATERIALES!$A:$F,6,0),"")</f>
        <v/>
      </c>
      <c r="G118" s="19">
        <f>IFERROR(VLOOKUP(C118,MATERIALES!$A:$I,9,0),0)</f>
        <v>0</v>
      </c>
      <c r="H118" s="20">
        <f t="shared" si="1"/>
        <v>0</v>
      </c>
      <c r="I118" s="17"/>
      <c r="J118" s="17"/>
    </row>
    <row r="119" spans="1:10">
      <c r="A119" s="16"/>
      <c r="B119" s="17"/>
      <c r="C119" s="17"/>
      <c r="D119" s="18" t="str">
        <f>IFERROR(VLOOKUP(C119,MATERIALES!$A:$B,2,0),"")</f>
        <v/>
      </c>
      <c r="E119" s="17"/>
      <c r="F119" s="18" t="str">
        <f>IFERROR(VLOOKUP(C119,MATERIALES!$A:$F,6,0),"")</f>
        <v/>
      </c>
      <c r="G119" s="19">
        <f>IFERROR(VLOOKUP(C119,MATERIALES!$A:$I,9,0),0)</f>
        <v>0</v>
      </c>
      <c r="H119" s="20">
        <f t="shared" si="1"/>
        <v>0</v>
      </c>
      <c r="I119" s="17"/>
      <c r="J119" s="17"/>
    </row>
    <row r="120" spans="1:10">
      <c r="A120" s="16"/>
      <c r="B120" s="17"/>
      <c r="C120" s="17"/>
      <c r="D120" s="18" t="str">
        <f>IFERROR(VLOOKUP(C120,MATERIALES!$A:$B,2,0),"")</f>
        <v/>
      </c>
      <c r="E120" s="17"/>
      <c r="F120" s="18" t="str">
        <f>IFERROR(VLOOKUP(C120,MATERIALES!$A:$F,6,0),"")</f>
        <v/>
      </c>
      <c r="G120" s="19">
        <f>IFERROR(VLOOKUP(C120,MATERIALES!$A:$I,9,0),0)</f>
        <v>0</v>
      </c>
      <c r="H120" s="20">
        <f t="shared" si="1"/>
        <v>0</v>
      </c>
      <c r="I120" s="17"/>
      <c r="J120" s="17"/>
    </row>
    <row r="121" spans="1:10">
      <c r="A121" s="16"/>
      <c r="B121" s="17"/>
      <c r="C121" s="17"/>
      <c r="D121" s="18" t="str">
        <f>IFERROR(VLOOKUP(C121,MATERIALES!$A:$B,2,0),"")</f>
        <v/>
      </c>
      <c r="E121" s="17"/>
      <c r="F121" s="18" t="str">
        <f>IFERROR(VLOOKUP(C121,MATERIALES!$A:$F,6,0),"")</f>
        <v/>
      </c>
      <c r="G121" s="19">
        <f>IFERROR(VLOOKUP(C121,MATERIALES!$A:$I,9,0),0)</f>
        <v>0</v>
      </c>
      <c r="H121" s="20">
        <f t="shared" si="1"/>
        <v>0</v>
      </c>
      <c r="I121" s="17"/>
      <c r="J121" s="17"/>
    </row>
    <row r="122" spans="1:10">
      <c r="A122" s="16"/>
      <c r="B122" s="17"/>
      <c r="C122" s="17"/>
      <c r="D122" s="18" t="str">
        <f>IFERROR(VLOOKUP(C122,MATERIALES!$A:$B,2,0),"")</f>
        <v/>
      </c>
      <c r="E122" s="17"/>
      <c r="F122" s="18" t="str">
        <f>IFERROR(VLOOKUP(C122,MATERIALES!$A:$F,6,0),"")</f>
        <v/>
      </c>
      <c r="G122" s="19">
        <f>IFERROR(VLOOKUP(C122,MATERIALES!$A:$I,9,0),0)</f>
        <v>0</v>
      </c>
      <c r="H122" s="20">
        <f t="shared" si="1"/>
        <v>0</v>
      </c>
      <c r="I122" s="17"/>
      <c r="J122" s="17"/>
    </row>
    <row r="123" spans="1:10">
      <c r="A123" s="16"/>
      <c r="B123" s="17"/>
      <c r="C123" s="17"/>
      <c r="D123" s="18" t="str">
        <f>IFERROR(VLOOKUP(C123,MATERIALES!$A:$B,2,0),"")</f>
        <v/>
      </c>
      <c r="E123" s="17"/>
      <c r="F123" s="18" t="str">
        <f>IFERROR(VLOOKUP(C123,MATERIALES!$A:$F,6,0),"")</f>
        <v/>
      </c>
      <c r="G123" s="19">
        <f>IFERROR(VLOOKUP(C123,MATERIALES!$A:$I,9,0),0)</f>
        <v>0</v>
      </c>
      <c r="H123" s="20">
        <f t="shared" si="1"/>
        <v>0</v>
      </c>
      <c r="I123" s="17"/>
      <c r="J123" s="17"/>
    </row>
    <row r="124" spans="1:10">
      <c r="A124" s="16"/>
      <c r="B124" s="17"/>
      <c r="C124" s="17"/>
      <c r="D124" s="18" t="str">
        <f>IFERROR(VLOOKUP(C124,MATERIALES!$A:$B,2,0),"")</f>
        <v/>
      </c>
      <c r="E124" s="17"/>
      <c r="F124" s="18" t="str">
        <f>IFERROR(VLOOKUP(C124,MATERIALES!$A:$F,6,0),"")</f>
        <v/>
      </c>
      <c r="G124" s="19">
        <f>IFERROR(VLOOKUP(C124,MATERIALES!$A:$I,9,0),0)</f>
        <v>0</v>
      </c>
      <c r="H124" s="20">
        <f t="shared" si="1"/>
        <v>0</v>
      </c>
      <c r="I124" s="17"/>
      <c r="J124" s="17"/>
    </row>
    <row r="125" spans="1:10">
      <c r="A125" s="16"/>
      <c r="B125" s="17"/>
      <c r="C125" s="17"/>
      <c r="D125" s="18" t="str">
        <f>IFERROR(VLOOKUP(C125,MATERIALES!$A:$B,2,0),"")</f>
        <v/>
      </c>
      <c r="E125" s="17"/>
      <c r="F125" s="18" t="str">
        <f>IFERROR(VLOOKUP(C125,MATERIALES!$A:$F,6,0),"")</f>
        <v/>
      </c>
      <c r="G125" s="19">
        <f>IFERROR(VLOOKUP(C125,MATERIALES!$A:$I,9,0),0)</f>
        <v>0</v>
      </c>
      <c r="H125" s="20">
        <f t="shared" si="1"/>
        <v>0</v>
      </c>
      <c r="I125" s="17"/>
      <c r="J125" s="17"/>
    </row>
    <row r="126" spans="1:10">
      <c r="A126" s="16"/>
      <c r="B126" s="17"/>
      <c r="C126" s="17"/>
      <c r="D126" s="18" t="str">
        <f>IFERROR(VLOOKUP(C126,MATERIALES!$A:$B,2,0),"")</f>
        <v/>
      </c>
      <c r="E126" s="17"/>
      <c r="F126" s="18" t="str">
        <f>IFERROR(VLOOKUP(C126,MATERIALES!$A:$F,6,0),"")</f>
        <v/>
      </c>
      <c r="G126" s="19">
        <f>IFERROR(VLOOKUP(C126,MATERIALES!$A:$I,9,0),0)</f>
        <v>0</v>
      </c>
      <c r="H126" s="20">
        <f t="shared" si="1"/>
        <v>0</v>
      </c>
      <c r="I126" s="17"/>
      <c r="J126" s="17"/>
    </row>
    <row r="127" spans="1:10">
      <c r="A127" s="16"/>
      <c r="B127" s="17"/>
      <c r="C127" s="17"/>
      <c r="D127" s="18" t="str">
        <f>IFERROR(VLOOKUP(C127,MATERIALES!$A:$B,2,0),"")</f>
        <v/>
      </c>
      <c r="E127" s="17"/>
      <c r="F127" s="18" t="str">
        <f>IFERROR(VLOOKUP(C127,MATERIALES!$A:$F,6,0),"")</f>
        <v/>
      </c>
      <c r="G127" s="19">
        <f>IFERROR(VLOOKUP(C127,MATERIALES!$A:$I,9,0),0)</f>
        <v>0</v>
      </c>
      <c r="H127" s="20">
        <f t="shared" si="1"/>
        <v>0</v>
      </c>
      <c r="I127" s="17"/>
      <c r="J127" s="17"/>
    </row>
    <row r="128" spans="1:10">
      <c r="A128" s="16"/>
      <c r="B128" s="17"/>
      <c r="C128" s="17"/>
      <c r="D128" s="18" t="str">
        <f>IFERROR(VLOOKUP(C128,MATERIALES!$A:$B,2,0),"")</f>
        <v/>
      </c>
      <c r="E128" s="17"/>
      <c r="F128" s="18" t="str">
        <f>IFERROR(VLOOKUP(C128,MATERIALES!$A:$F,6,0),"")</f>
        <v/>
      </c>
      <c r="G128" s="19">
        <f>IFERROR(VLOOKUP(C128,MATERIALES!$A:$I,9,0),0)</f>
        <v>0</v>
      </c>
      <c r="H128" s="20">
        <f t="shared" si="1"/>
        <v>0</v>
      </c>
      <c r="I128" s="17"/>
      <c r="J128" s="17"/>
    </row>
    <row r="129" spans="1:10">
      <c r="A129" s="16"/>
      <c r="B129" s="17"/>
      <c r="C129" s="17"/>
      <c r="D129" s="18" t="str">
        <f>IFERROR(VLOOKUP(C129,MATERIALES!$A:$B,2,0),"")</f>
        <v/>
      </c>
      <c r="E129" s="17"/>
      <c r="F129" s="18" t="str">
        <f>IFERROR(VLOOKUP(C129,MATERIALES!$A:$F,6,0),"")</f>
        <v/>
      </c>
      <c r="G129" s="19">
        <f>IFERROR(VLOOKUP(C129,MATERIALES!$A:$I,9,0),0)</f>
        <v>0</v>
      </c>
      <c r="H129" s="20">
        <f t="shared" si="1"/>
        <v>0</v>
      </c>
      <c r="I129" s="17"/>
      <c r="J129" s="17"/>
    </row>
    <row r="130" spans="1:10">
      <c r="A130" s="16"/>
      <c r="B130" s="17"/>
      <c r="C130" s="17"/>
      <c r="D130" s="18" t="str">
        <f>IFERROR(VLOOKUP(C130,MATERIALES!$A:$B,2,0),"")</f>
        <v/>
      </c>
      <c r="E130" s="17"/>
      <c r="F130" s="18" t="str">
        <f>IFERROR(VLOOKUP(C130,MATERIALES!$A:$F,6,0),"")</f>
        <v/>
      </c>
      <c r="G130" s="19">
        <f>IFERROR(VLOOKUP(C130,MATERIALES!$A:$I,9,0),0)</f>
        <v>0</v>
      </c>
      <c r="H130" s="20">
        <f t="shared" si="1"/>
        <v>0</v>
      </c>
      <c r="I130" s="17"/>
      <c r="J130" s="17"/>
    </row>
    <row r="131" spans="1:10">
      <c r="A131" s="16"/>
      <c r="B131" s="17"/>
      <c r="C131" s="17"/>
      <c r="D131" s="18" t="str">
        <f>IFERROR(VLOOKUP(C131,MATERIALES!$A:$B,2,0),"")</f>
        <v/>
      </c>
      <c r="E131" s="17"/>
      <c r="F131" s="18" t="str">
        <f>IFERROR(VLOOKUP(C131,MATERIALES!$A:$F,6,0),"")</f>
        <v/>
      </c>
      <c r="G131" s="19">
        <f>IFERROR(VLOOKUP(C131,MATERIALES!$A:$I,9,0),0)</f>
        <v>0</v>
      </c>
      <c r="H131" s="20">
        <f t="shared" si="1"/>
        <v>0</v>
      </c>
      <c r="I131" s="17"/>
      <c r="J131" s="17"/>
    </row>
    <row r="132" spans="1:10">
      <c r="A132" s="16"/>
      <c r="B132" s="17"/>
      <c r="C132" s="17"/>
      <c r="D132" s="18" t="str">
        <f>IFERROR(VLOOKUP(C132,MATERIALES!$A:$B,2,0),"")</f>
        <v/>
      </c>
      <c r="E132" s="17"/>
      <c r="F132" s="18" t="str">
        <f>IFERROR(VLOOKUP(C132,MATERIALES!$A:$F,6,0),"")</f>
        <v/>
      </c>
      <c r="G132" s="19">
        <f>IFERROR(VLOOKUP(C132,MATERIALES!$A:$I,9,0),0)</f>
        <v>0</v>
      </c>
      <c r="H132" s="20">
        <f t="shared" si="1"/>
        <v>0</v>
      </c>
      <c r="I132" s="17"/>
      <c r="J132" s="17"/>
    </row>
    <row r="133" spans="1:10">
      <c r="A133" s="16"/>
      <c r="B133" s="17"/>
      <c r="C133" s="17"/>
      <c r="D133" s="18" t="str">
        <f>IFERROR(VLOOKUP(C133,MATERIALES!$A:$B,2,0),"")</f>
        <v/>
      </c>
      <c r="E133" s="17"/>
      <c r="F133" s="18" t="str">
        <f>IFERROR(VLOOKUP(C133,MATERIALES!$A:$F,6,0),"")</f>
        <v/>
      </c>
      <c r="G133" s="19">
        <f>IFERROR(VLOOKUP(C133,MATERIALES!$A:$I,9,0),0)</f>
        <v>0</v>
      </c>
      <c r="H133" s="20">
        <f t="shared" ref="H133:H196" si="2">IFERROR(E133*G133,0)</f>
        <v>0</v>
      </c>
      <c r="I133" s="17"/>
      <c r="J133" s="17"/>
    </row>
    <row r="134" spans="1:10">
      <c r="A134" s="16"/>
      <c r="B134" s="17"/>
      <c r="C134" s="17"/>
      <c r="D134" s="18" t="str">
        <f>IFERROR(VLOOKUP(C134,MATERIALES!$A:$B,2,0),"")</f>
        <v/>
      </c>
      <c r="E134" s="17"/>
      <c r="F134" s="18" t="str">
        <f>IFERROR(VLOOKUP(C134,MATERIALES!$A:$F,6,0),"")</f>
        <v/>
      </c>
      <c r="G134" s="19">
        <f>IFERROR(VLOOKUP(C134,MATERIALES!$A:$I,9,0),0)</f>
        <v>0</v>
      </c>
      <c r="H134" s="20">
        <f t="shared" si="2"/>
        <v>0</v>
      </c>
      <c r="I134" s="17"/>
      <c r="J134" s="17"/>
    </row>
    <row r="135" spans="1:10">
      <c r="A135" s="16"/>
      <c r="B135" s="17"/>
      <c r="C135" s="17"/>
      <c r="D135" s="18" t="str">
        <f>IFERROR(VLOOKUP(C135,MATERIALES!$A:$B,2,0),"")</f>
        <v/>
      </c>
      <c r="E135" s="17"/>
      <c r="F135" s="18" t="str">
        <f>IFERROR(VLOOKUP(C135,MATERIALES!$A:$F,6,0),"")</f>
        <v/>
      </c>
      <c r="G135" s="19">
        <f>IFERROR(VLOOKUP(C135,MATERIALES!$A:$I,9,0),0)</f>
        <v>0</v>
      </c>
      <c r="H135" s="20">
        <f t="shared" si="2"/>
        <v>0</v>
      </c>
      <c r="I135" s="17"/>
      <c r="J135" s="17"/>
    </row>
    <row r="136" spans="1:10">
      <c r="A136" s="16"/>
      <c r="B136" s="17"/>
      <c r="C136" s="17"/>
      <c r="D136" s="18" t="str">
        <f>IFERROR(VLOOKUP(C136,MATERIALES!$A:$B,2,0),"")</f>
        <v/>
      </c>
      <c r="E136" s="17"/>
      <c r="F136" s="18" t="str">
        <f>IFERROR(VLOOKUP(C136,MATERIALES!$A:$F,6,0),"")</f>
        <v/>
      </c>
      <c r="G136" s="19">
        <f>IFERROR(VLOOKUP(C136,MATERIALES!$A:$I,9,0),0)</f>
        <v>0</v>
      </c>
      <c r="H136" s="20">
        <f t="shared" si="2"/>
        <v>0</v>
      </c>
      <c r="I136" s="17"/>
      <c r="J136" s="17"/>
    </row>
    <row r="137" spans="1:10">
      <c r="A137" s="16"/>
      <c r="B137" s="17"/>
      <c r="C137" s="17"/>
      <c r="D137" s="18" t="str">
        <f>IFERROR(VLOOKUP(C137,MATERIALES!$A:$B,2,0),"")</f>
        <v/>
      </c>
      <c r="E137" s="17"/>
      <c r="F137" s="18" t="str">
        <f>IFERROR(VLOOKUP(C137,MATERIALES!$A:$F,6,0),"")</f>
        <v/>
      </c>
      <c r="G137" s="19">
        <f>IFERROR(VLOOKUP(C137,MATERIALES!$A:$I,9,0),0)</f>
        <v>0</v>
      </c>
      <c r="H137" s="20">
        <f t="shared" si="2"/>
        <v>0</v>
      </c>
      <c r="I137" s="17"/>
      <c r="J137" s="17"/>
    </row>
    <row r="138" spans="1:10">
      <c r="A138" s="16"/>
      <c r="B138" s="17"/>
      <c r="C138" s="17"/>
      <c r="D138" s="18" t="str">
        <f>IFERROR(VLOOKUP(C138,MATERIALES!$A:$B,2,0),"")</f>
        <v/>
      </c>
      <c r="E138" s="17"/>
      <c r="F138" s="18" t="str">
        <f>IFERROR(VLOOKUP(C138,MATERIALES!$A:$F,6,0),"")</f>
        <v/>
      </c>
      <c r="G138" s="19">
        <f>IFERROR(VLOOKUP(C138,MATERIALES!$A:$I,9,0),0)</f>
        <v>0</v>
      </c>
      <c r="H138" s="20">
        <f t="shared" si="2"/>
        <v>0</v>
      </c>
      <c r="I138" s="17"/>
      <c r="J138" s="17"/>
    </row>
    <row r="139" spans="1:10">
      <c r="A139" s="16"/>
      <c r="B139" s="17"/>
      <c r="C139" s="17"/>
      <c r="D139" s="18" t="str">
        <f>IFERROR(VLOOKUP(C139,MATERIALES!$A:$B,2,0),"")</f>
        <v/>
      </c>
      <c r="E139" s="17"/>
      <c r="F139" s="18" t="str">
        <f>IFERROR(VLOOKUP(C139,MATERIALES!$A:$F,6,0),"")</f>
        <v/>
      </c>
      <c r="G139" s="19">
        <f>IFERROR(VLOOKUP(C139,MATERIALES!$A:$I,9,0),0)</f>
        <v>0</v>
      </c>
      <c r="H139" s="20">
        <f t="shared" si="2"/>
        <v>0</v>
      </c>
      <c r="I139" s="17"/>
      <c r="J139" s="17"/>
    </row>
    <row r="140" spans="1:10">
      <c r="A140" s="16"/>
      <c r="B140" s="17"/>
      <c r="C140" s="17"/>
      <c r="D140" s="18" t="str">
        <f>IFERROR(VLOOKUP(C140,MATERIALES!$A:$B,2,0),"")</f>
        <v/>
      </c>
      <c r="E140" s="17"/>
      <c r="F140" s="18" t="str">
        <f>IFERROR(VLOOKUP(C140,MATERIALES!$A:$F,6,0),"")</f>
        <v/>
      </c>
      <c r="G140" s="19">
        <f>IFERROR(VLOOKUP(C140,MATERIALES!$A:$I,9,0),0)</f>
        <v>0</v>
      </c>
      <c r="H140" s="20">
        <f t="shared" si="2"/>
        <v>0</v>
      </c>
      <c r="I140" s="17"/>
      <c r="J140" s="17"/>
    </row>
    <row r="141" spans="1:10">
      <c r="A141" s="16"/>
      <c r="B141" s="17"/>
      <c r="C141" s="17"/>
      <c r="D141" s="18" t="str">
        <f>IFERROR(VLOOKUP(C141,MATERIALES!$A:$B,2,0),"")</f>
        <v/>
      </c>
      <c r="E141" s="17"/>
      <c r="F141" s="18" t="str">
        <f>IFERROR(VLOOKUP(C141,MATERIALES!$A:$F,6,0),"")</f>
        <v/>
      </c>
      <c r="G141" s="19">
        <f>IFERROR(VLOOKUP(C141,MATERIALES!$A:$I,9,0),0)</f>
        <v>0</v>
      </c>
      <c r="H141" s="20">
        <f t="shared" si="2"/>
        <v>0</v>
      </c>
      <c r="I141" s="17"/>
      <c r="J141" s="17"/>
    </row>
    <row r="142" spans="1:10">
      <c r="A142" s="16"/>
      <c r="B142" s="17"/>
      <c r="C142" s="17"/>
      <c r="D142" s="18" t="str">
        <f>IFERROR(VLOOKUP(C142,MATERIALES!$A:$B,2,0),"")</f>
        <v/>
      </c>
      <c r="E142" s="17"/>
      <c r="F142" s="18" t="str">
        <f>IFERROR(VLOOKUP(C142,MATERIALES!$A:$F,6,0),"")</f>
        <v/>
      </c>
      <c r="G142" s="19">
        <f>IFERROR(VLOOKUP(C142,MATERIALES!$A:$I,9,0),0)</f>
        <v>0</v>
      </c>
      <c r="H142" s="20">
        <f t="shared" si="2"/>
        <v>0</v>
      </c>
      <c r="I142" s="17"/>
      <c r="J142" s="17"/>
    </row>
    <row r="143" spans="1:10">
      <c r="A143" s="16"/>
      <c r="B143" s="17"/>
      <c r="C143" s="17"/>
      <c r="D143" s="18" t="str">
        <f>IFERROR(VLOOKUP(C143,MATERIALES!$A:$B,2,0),"")</f>
        <v/>
      </c>
      <c r="E143" s="17"/>
      <c r="F143" s="18" t="str">
        <f>IFERROR(VLOOKUP(C143,MATERIALES!$A:$F,6,0),"")</f>
        <v/>
      </c>
      <c r="G143" s="19">
        <f>IFERROR(VLOOKUP(C143,MATERIALES!$A:$I,9,0),0)</f>
        <v>0</v>
      </c>
      <c r="H143" s="20">
        <f t="shared" si="2"/>
        <v>0</v>
      </c>
      <c r="I143" s="17"/>
      <c r="J143" s="17"/>
    </row>
    <row r="144" spans="1:10">
      <c r="A144" s="16"/>
      <c r="B144" s="17"/>
      <c r="C144" s="17"/>
      <c r="D144" s="18" t="str">
        <f>IFERROR(VLOOKUP(C144,MATERIALES!$A:$B,2,0),"")</f>
        <v/>
      </c>
      <c r="E144" s="17"/>
      <c r="F144" s="18" t="str">
        <f>IFERROR(VLOOKUP(C144,MATERIALES!$A:$F,6,0),"")</f>
        <v/>
      </c>
      <c r="G144" s="19">
        <f>IFERROR(VLOOKUP(C144,MATERIALES!$A:$I,9,0),0)</f>
        <v>0</v>
      </c>
      <c r="H144" s="20">
        <f t="shared" si="2"/>
        <v>0</v>
      </c>
      <c r="I144" s="17"/>
      <c r="J144" s="17"/>
    </row>
    <row r="145" spans="1:10">
      <c r="A145" s="16"/>
      <c r="B145" s="17"/>
      <c r="C145" s="17"/>
      <c r="D145" s="18" t="str">
        <f>IFERROR(VLOOKUP(C145,MATERIALES!$A:$B,2,0),"")</f>
        <v/>
      </c>
      <c r="E145" s="17"/>
      <c r="F145" s="18" t="str">
        <f>IFERROR(VLOOKUP(C145,MATERIALES!$A:$F,6,0),"")</f>
        <v/>
      </c>
      <c r="G145" s="19">
        <f>IFERROR(VLOOKUP(C145,MATERIALES!$A:$I,9,0),0)</f>
        <v>0</v>
      </c>
      <c r="H145" s="20">
        <f t="shared" si="2"/>
        <v>0</v>
      </c>
      <c r="I145" s="17"/>
      <c r="J145" s="17"/>
    </row>
    <row r="146" spans="1:10">
      <c r="A146" s="16"/>
      <c r="B146" s="17"/>
      <c r="C146" s="17"/>
      <c r="D146" s="18" t="str">
        <f>IFERROR(VLOOKUP(C146,MATERIALES!$A:$B,2,0),"")</f>
        <v/>
      </c>
      <c r="E146" s="17"/>
      <c r="F146" s="18" t="str">
        <f>IFERROR(VLOOKUP(C146,MATERIALES!$A:$F,6,0),"")</f>
        <v/>
      </c>
      <c r="G146" s="19">
        <f>IFERROR(VLOOKUP(C146,MATERIALES!$A:$I,9,0),0)</f>
        <v>0</v>
      </c>
      <c r="H146" s="20">
        <f t="shared" si="2"/>
        <v>0</v>
      </c>
      <c r="I146" s="17"/>
      <c r="J146" s="17"/>
    </row>
    <row r="147" spans="1:10">
      <c r="A147" s="16"/>
      <c r="B147" s="17"/>
      <c r="C147" s="17"/>
      <c r="D147" s="18" t="str">
        <f>IFERROR(VLOOKUP(C147,MATERIALES!$A:$B,2,0),"")</f>
        <v/>
      </c>
      <c r="E147" s="17"/>
      <c r="F147" s="18" t="str">
        <f>IFERROR(VLOOKUP(C147,MATERIALES!$A:$F,6,0),"")</f>
        <v/>
      </c>
      <c r="G147" s="19">
        <f>IFERROR(VLOOKUP(C147,MATERIALES!$A:$I,9,0),0)</f>
        <v>0</v>
      </c>
      <c r="H147" s="20">
        <f t="shared" si="2"/>
        <v>0</v>
      </c>
      <c r="I147" s="17"/>
      <c r="J147" s="17"/>
    </row>
    <row r="148" spans="1:10">
      <c r="A148" s="16"/>
      <c r="B148" s="17"/>
      <c r="C148" s="17"/>
      <c r="D148" s="18" t="str">
        <f>IFERROR(VLOOKUP(C148,MATERIALES!$A:$B,2,0),"")</f>
        <v/>
      </c>
      <c r="E148" s="17"/>
      <c r="F148" s="18" t="str">
        <f>IFERROR(VLOOKUP(C148,MATERIALES!$A:$F,6,0),"")</f>
        <v/>
      </c>
      <c r="G148" s="19">
        <f>IFERROR(VLOOKUP(C148,MATERIALES!$A:$I,9,0),0)</f>
        <v>0</v>
      </c>
      <c r="H148" s="20">
        <f t="shared" si="2"/>
        <v>0</v>
      </c>
      <c r="I148" s="17"/>
      <c r="J148" s="17"/>
    </row>
    <row r="149" spans="1:10">
      <c r="A149" s="16"/>
      <c r="B149" s="17"/>
      <c r="C149" s="17"/>
      <c r="D149" s="18" t="str">
        <f>IFERROR(VLOOKUP(C149,MATERIALES!$A:$B,2,0),"")</f>
        <v/>
      </c>
      <c r="E149" s="17"/>
      <c r="F149" s="18" t="str">
        <f>IFERROR(VLOOKUP(C149,MATERIALES!$A:$F,6,0),"")</f>
        <v/>
      </c>
      <c r="G149" s="19">
        <f>IFERROR(VLOOKUP(C149,MATERIALES!$A:$I,9,0),0)</f>
        <v>0</v>
      </c>
      <c r="H149" s="20">
        <f t="shared" si="2"/>
        <v>0</v>
      </c>
      <c r="I149" s="17"/>
      <c r="J149" s="17"/>
    </row>
    <row r="150" spans="1:10">
      <c r="A150" s="16"/>
      <c r="B150" s="17"/>
      <c r="C150" s="17"/>
      <c r="D150" s="18" t="str">
        <f>IFERROR(VLOOKUP(C150,MATERIALES!$A:$B,2,0),"")</f>
        <v/>
      </c>
      <c r="E150" s="17"/>
      <c r="F150" s="18" t="str">
        <f>IFERROR(VLOOKUP(C150,MATERIALES!$A:$F,6,0),"")</f>
        <v/>
      </c>
      <c r="G150" s="19">
        <f>IFERROR(VLOOKUP(C150,MATERIALES!$A:$I,9,0),0)</f>
        <v>0</v>
      </c>
      <c r="H150" s="20">
        <f t="shared" si="2"/>
        <v>0</v>
      </c>
      <c r="I150" s="17"/>
      <c r="J150" s="17"/>
    </row>
    <row r="151" spans="1:10">
      <c r="A151" s="16"/>
      <c r="B151" s="17"/>
      <c r="C151" s="17"/>
      <c r="D151" s="18" t="str">
        <f>IFERROR(VLOOKUP(C151,MATERIALES!$A:$B,2,0),"")</f>
        <v/>
      </c>
      <c r="E151" s="17"/>
      <c r="F151" s="18" t="str">
        <f>IFERROR(VLOOKUP(C151,MATERIALES!$A:$F,6,0),"")</f>
        <v/>
      </c>
      <c r="G151" s="19">
        <f>IFERROR(VLOOKUP(C151,MATERIALES!$A:$I,9,0),0)</f>
        <v>0</v>
      </c>
      <c r="H151" s="20">
        <f t="shared" si="2"/>
        <v>0</v>
      </c>
      <c r="I151" s="17"/>
      <c r="J151" s="17"/>
    </row>
    <row r="152" spans="1:10">
      <c r="A152" s="16"/>
      <c r="B152" s="17"/>
      <c r="C152" s="17"/>
      <c r="D152" s="18" t="str">
        <f>IFERROR(VLOOKUP(C152,MATERIALES!$A:$B,2,0),"")</f>
        <v/>
      </c>
      <c r="E152" s="17"/>
      <c r="F152" s="18" t="str">
        <f>IFERROR(VLOOKUP(C152,MATERIALES!$A:$F,6,0),"")</f>
        <v/>
      </c>
      <c r="G152" s="19">
        <f>IFERROR(VLOOKUP(C152,MATERIALES!$A:$I,9,0),0)</f>
        <v>0</v>
      </c>
      <c r="H152" s="20">
        <f t="shared" si="2"/>
        <v>0</v>
      </c>
      <c r="I152" s="17"/>
      <c r="J152" s="17"/>
    </row>
    <row r="153" spans="1:10">
      <c r="A153" s="16"/>
      <c r="B153" s="17"/>
      <c r="C153" s="17"/>
      <c r="D153" s="18" t="str">
        <f>IFERROR(VLOOKUP(C153,MATERIALES!$A:$B,2,0),"")</f>
        <v/>
      </c>
      <c r="E153" s="17"/>
      <c r="F153" s="18" t="str">
        <f>IFERROR(VLOOKUP(C153,MATERIALES!$A:$F,6,0),"")</f>
        <v/>
      </c>
      <c r="G153" s="19">
        <f>IFERROR(VLOOKUP(C153,MATERIALES!$A:$I,9,0),0)</f>
        <v>0</v>
      </c>
      <c r="H153" s="20">
        <f t="shared" si="2"/>
        <v>0</v>
      </c>
      <c r="I153" s="17"/>
      <c r="J153" s="17"/>
    </row>
    <row r="154" spans="1:10">
      <c r="A154" s="16"/>
      <c r="B154" s="17"/>
      <c r="C154" s="17"/>
      <c r="D154" s="18" t="str">
        <f>IFERROR(VLOOKUP(C154,MATERIALES!$A:$B,2,0),"")</f>
        <v/>
      </c>
      <c r="E154" s="17"/>
      <c r="F154" s="18" t="str">
        <f>IFERROR(VLOOKUP(C154,MATERIALES!$A:$F,6,0),"")</f>
        <v/>
      </c>
      <c r="G154" s="19">
        <f>IFERROR(VLOOKUP(C154,MATERIALES!$A:$I,9,0),0)</f>
        <v>0</v>
      </c>
      <c r="H154" s="20">
        <f t="shared" si="2"/>
        <v>0</v>
      </c>
      <c r="I154" s="17"/>
      <c r="J154" s="17"/>
    </row>
    <row r="155" spans="1:10">
      <c r="A155" s="16"/>
      <c r="B155" s="17"/>
      <c r="C155" s="17"/>
      <c r="D155" s="18" t="str">
        <f>IFERROR(VLOOKUP(C155,MATERIALES!$A:$B,2,0),"")</f>
        <v/>
      </c>
      <c r="E155" s="17"/>
      <c r="F155" s="18" t="str">
        <f>IFERROR(VLOOKUP(C155,MATERIALES!$A:$F,6,0),"")</f>
        <v/>
      </c>
      <c r="G155" s="19">
        <f>IFERROR(VLOOKUP(C155,MATERIALES!$A:$I,9,0),0)</f>
        <v>0</v>
      </c>
      <c r="H155" s="20">
        <f t="shared" si="2"/>
        <v>0</v>
      </c>
      <c r="I155" s="17"/>
      <c r="J155" s="17"/>
    </row>
    <row r="156" spans="1:10">
      <c r="A156" s="16"/>
      <c r="B156" s="17"/>
      <c r="C156" s="17"/>
      <c r="D156" s="18" t="str">
        <f>IFERROR(VLOOKUP(C156,MATERIALES!$A:$B,2,0),"")</f>
        <v/>
      </c>
      <c r="E156" s="17"/>
      <c r="F156" s="18" t="str">
        <f>IFERROR(VLOOKUP(C156,MATERIALES!$A:$F,6,0),"")</f>
        <v/>
      </c>
      <c r="G156" s="19">
        <f>IFERROR(VLOOKUP(C156,MATERIALES!$A:$I,9,0),0)</f>
        <v>0</v>
      </c>
      <c r="H156" s="20">
        <f t="shared" si="2"/>
        <v>0</v>
      </c>
      <c r="I156" s="17"/>
      <c r="J156" s="17"/>
    </row>
    <row r="157" spans="1:10">
      <c r="A157" s="16"/>
      <c r="B157" s="17"/>
      <c r="C157" s="17"/>
      <c r="D157" s="18" t="str">
        <f>IFERROR(VLOOKUP(C157,MATERIALES!$A:$B,2,0),"")</f>
        <v/>
      </c>
      <c r="E157" s="17"/>
      <c r="F157" s="18" t="str">
        <f>IFERROR(VLOOKUP(C157,MATERIALES!$A:$F,6,0),"")</f>
        <v/>
      </c>
      <c r="G157" s="19">
        <f>IFERROR(VLOOKUP(C157,MATERIALES!$A:$I,9,0),0)</f>
        <v>0</v>
      </c>
      <c r="H157" s="20">
        <f t="shared" si="2"/>
        <v>0</v>
      </c>
      <c r="I157" s="17"/>
      <c r="J157" s="17"/>
    </row>
    <row r="158" spans="1:10">
      <c r="A158" s="16"/>
      <c r="B158" s="17"/>
      <c r="C158" s="17"/>
      <c r="D158" s="18" t="str">
        <f>IFERROR(VLOOKUP(C158,MATERIALES!$A:$B,2,0),"")</f>
        <v/>
      </c>
      <c r="E158" s="17"/>
      <c r="F158" s="18" t="str">
        <f>IFERROR(VLOOKUP(C158,MATERIALES!$A:$F,6,0),"")</f>
        <v/>
      </c>
      <c r="G158" s="19">
        <f>IFERROR(VLOOKUP(C158,MATERIALES!$A:$I,9,0),0)</f>
        <v>0</v>
      </c>
      <c r="H158" s="20">
        <f t="shared" si="2"/>
        <v>0</v>
      </c>
      <c r="I158" s="17"/>
      <c r="J158" s="17"/>
    </row>
    <row r="159" spans="1:10">
      <c r="A159" s="16"/>
      <c r="B159" s="17"/>
      <c r="C159" s="17"/>
      <c r="D159" s="18" t="str">
        <f>IFERROR(VLOOKUP(C159,MATERIALES!$A:$B,2,0),"")</f>
        <v/>
      </c>
      <c r="E159" s="17"/>
      <c r="F159" s="18" t="str">
        <f>IFERROR(VLOOKUP(C159,MATERIALES!$A:$F,6,0),"")</f>
        <v/>
      </c>
      <c r="G159" s="19">
        <f>IFERROR(VLOOKUP(C159,MATERIALES!$A:$I,9,0),0)</f>
        <v>0</v>
      </c>
      <c r="H159" s="20">
        <f t="shared" si="2"/>
        <v>0</v>
      </c>
      <c r="I159" s="17"/>
      <c r="J159" s="17"/>
    </row>
    <row r="160" spans="1:10">
      <c r="A160" s="16"/>
      <c r="B160" s="17"/>
      <c r="C160" s="17"/>
      <c r="D160" s="18" t="str">
        <f>IFERROR(VLOOKUP(C160,MATERIALES!$A:$B,2,0),"")</f>
        <v/>
      </c>
      <c r="E160" s="17"/>
      <c r="F160" s="18" t="str">
        <f>IFERROR(VLOOKUP(C160,MATERIALES!$A:$F,6,0),"")</f>
        <v/>
      </c>
      <c r="G160" s="19">
        <f>IFERROR(VLOOKUP(C160,MATERIALES!$A:$I,9,0),0)</f>
        <v>0</v>
      </c>
      <c r="H160" s="20">
        <f t="shared" si="2"/>
        <v>0</v>
      </c>
      <c r="I160" s="17"/>
      <c r="J160" s="17"/>
    </row>
    <row r="161" spans="1:10">
      <c r="A161" s="16"/>
      <c r="B161" s="17"/>
      <c r="C161" s="17"/>
      <c r="D161" s="18" t="str">
        <f>IFERROR(VLOOKUP(C161,MATERIALES!$A:$B,2,0),"")</f>
        <v/>
      </c>
      <c r="E161" s="17"/>
      <c r="F161" s="18" t="str">
        <f>IFERROR(VLOOKUP(C161,MATERIALES!$A:$F,6,0),"")</f>
        <v/>
      </c>
      <c r="G161" s="19">
        <f>IFERROR(VLOOKUP(C161,MATERIALES!$A:$I,9,0),0)</f>
        <v>0</v>
      </c>
      <c r="H161" s="20">
        <f t="shared" si="2"/>
        <v>0</v>
      </c>
      <c r="I161" s="17"/>
      <c r="J161" s="17"/>
    </row>
    <row r="162" spans="1:10">
      <c r="A162" s="16"/>
      <c r="B162" s="17"/>
      <c r="C162" s="17"/>
      <c r="D162" s="18" t="str">
        <f>IFERROR(VLOOKUP(C162,MATERIALES!$A:$B,2,0),"")</f>
        <v/>
      </c>
      <c r="E162" s="17"/>
      <c r="F162" s="18" t="str">
        <f>IFERROR(VLOOKUP(C162,MATERIALES!$A:$F,6,0),"")</f>
        <v/>
      </c>
      <c r="G162" s="19">
        <f>IFERROR(VLOOKUP(C162,MATERIALES!$A:$I,9,0),0)</f>
        <v>0</v>
      </c>
      <c r="H162" s="20">
        <f t="shared" si="2"/>
        <v>0</v>
      </c>
      <c r="I162" s="17"/>
      <c r="J162" s="17"/>
    </row>
    <row r="163" spans="1:10">
      <c r="A163" s="16"/>
      <c r="B163" s="17"/>
      <c r="C163" s="17"/>
      <c r="D163" s="18" t="str">
        <f>IFERROR(VLOOKUP(C163,MATERIALES!$A:$B,2,0),"")</f>
        <v/>
      </c>
      <c r="E163" s="17"/>
      <c r="F163" s="18" t="str">
        <f>IFERROR(VLOOKUP(C163,MATERIALES!$A:$F,6,0),"")</f>
        <v/>
      </c>
      <c r="G163" s="19">
        <f>IFERROR(VLOOKUP(C163,MATERIALES!$A:$I,9,0),0)</f>
        <v>0</v>
      </c>
      <c r="H163" s="20">
        <f t="shared" si="2"/>
        <v>0</v>
      </c>
      <c r="I163" s="17"/>
      <c r="J163" s="17"/>
    </row>
    <row r="164" spans="1:10">
      <c r="A164" s="16"/>
      <c r="B164" s="17"/>
      <c r="C164" s="17"/>
      <c r="D164" s="18" t="str">
        <f>IFERROR(VLOOKUP(C164,MATERIALES!$A:$B,2,0),"")</f>
        <v/>
      </c>
      <c r="E164" s="17"/>
      <c r="F164" s="18" t="str">
        <f>IFERROR(VLOOKUP(C164,MATERIALES!$A:$F,6,0),"")</f>
        <v/>
      </c>
      <c r="G164" s="19">
        <f>IFERROR(VLOOKUP(C164,MATERIALES!$A:$I,9,0),0)</f>
        <v>0</v>
      </c>
      <c r="H164" s="20">
        <f t="shared" si="2"/>
        <v>0</v>
      </c>
      <c r="I164" s="17"/>
      <c r="J164" s="17"/>
    </row>
    <row r="165" spans="1:10">
      <c r="A165" s="16"/>
      <c r="B165" s="17"/>
      <c r="C165" s="17"/>
      <c r="D165" s="18" t="str">
        <f>IFERROR(VLOOKUP(C165,MATERIALES!$A:$B,2,0),"")</f>
        <v/>
      </c>
      <c r="E165" s="17"/>
      <c r="F165" s="18" t="str">
        <f>IFERROR(VLOOKUP(C165,MATERIALES!$A:$F,6,0),"")</f>
        <v/>
      </c>
      <c r="G165" s="19">
        <f>IFERROR(VLOOKUP(C165,MATERIALES!$A:$I,9,0),0)</f>
        <v>0</v>
      </c>
      <c r="H165" s="20">
        <f t="shared" si="2"/>
        <v>0</v>
      </c>
      <c r="I165" s="17"/>
      <c r="J165" s="17"/>
    </row>
    <row r="166" spans="1:10">
      <c r="A166" s="16"/>
      <c r="B166" s="17"/>
      <c r="C166" s="17"/>
      <c r="D166" s="18" t="str">
        <f>IFERROR(VLOOKUP(C166,MATERIALES!$A:$B,2,0),"")</f>
        <v/>
      </c>
      <c r="E166" s="17"/>
      <c r="F166" s="18" t="str">
        <f>IFERROR(VLOOKUP(C166,MATERIALES!$A:$F,6,0),"")</f>
        <v/>
      </c>
      <c r="G166" s="19">
        <f>IFERROR(VLOOKUP(C166,MATERIALES!$A:$I,9,0),0)</f>
        <v>0</v>
      </c>
      <c r="H166" s="20">
        <f t="shared" si="2"/>
        <v>0</v>
      </c>
      <c r="I166" s="17"/>
      <c r="J166" s="17"/>
    </row>
    <row r="167" spans="1:10">
      <c r="A167" s="16"/>
      <c r="B167" s="17"/>
      <c r="C167" s="17"/>
      <c r="D167" s="18" t="str">
        <f>IFERROR(VLOOKUP(C167,MATERIALES!$A:$B,2,0),"")</f>
        <v/>
      </c>
      <c r="E167" s="17"/>
      <c r="F167" s="18" t="str">
        <f>IFERROR(VLOOKUP(C167,MATERIALES!$A:$F,6,0),"")</f>
        <v/>
      </c>
      <c r="G167" s="19">
        <f>IFERROR(VLOOKUP(C167,MATERIALES!$A:$I,9,0),0)</f>
        <v>0</v>
      </c>
      <c r="H167" s="20">
        <f t="shared" si="2"/>
        <v>0</v>
      </c>
      <c r="I167" s="17"/>
      <c r="J167" s="17"/>
    </row>
    <row r="168" spans="1:10">
      <c r="A168" s="16"/>
      <c r="B168" s="17"/>
      <c r="C168" s="17"/>
      <c r="D168" s="18" t="str">
        <f>IFERROR(VLOOKUP(C168,MATERIALES!$A:$B,2,0),"")</f>
        <v/>
      </c>
      <c r="E168" s="17"/>
      <c r="F168" s="18" t="str">
        <f>IFERROR(VLOOKUP(C168,MATERIALES!$A:$F,6,0),"")</f>
        <v/>
      </c>
      <c r="G168" s="19">
        <f>IFERROR(VLOOKUP(C168,MATERIALES!$A:$I,9,0),0)</f>
        <v>0</v>
      </c>
      <c r="H168" s="20">
        <f t="shared" si="2"/>
        <v>0</v>
      </c>
      <c r="I168" s="17"/>
      <c r="J168" s="17"/>
    </row>
    <row r="169" spans="1:10">
      <c r="A169" s="16"/>
      <c r="B169" s="17"/>
      <c r="C169" s="17"/>
      <c r="D169" s="18" t="str">
        <f>IFERROR(VLOOKUP(C169,MATERIALES!$A:$B,2,0),"")</f>
        <v/>
      </c>
      <c r="E169" s="17"/>
      <c r="F169" s="18" t="str">
        <f>IFERROR(VLOOKUP(C169,MATERIALES!$A:$F,6,0),"")</f>
        <v/>
      </c>
      <c r="G169" s="19">
        <f>IFERROR(VLOOKUP(C169,MATERIALES!$A:$I,9,0),0)</f>
        <v>0</v>
      </c>
      <c r="H169" s="20">
        <f t="shared" si="2"/>
        <v>0</v>
      </c>
      <c r="I169" s="17"/>
      <c r="J169" s="17"/>
    </row>
    <row r="170" spans="1:10">
      <c r="A170" s="16"/>
      <c r="B170" s="17"/>
      <c r="C170" s="17"/>
      <c r="D170" s="18" t="str">
        <f>IFERROR(VLOOKUP(C170,MATERIALES!$A:$B,2,0),"")</f>
        <v/>
      </c>
      <c r="E170" s="17"/>
      <c r="F170" s="18" t="str">
        <f>IFERROR(VLOOKUP(C170,MATERIALES!$A:$F,6,0),"")</f>
        <v/>
      </c>
      <c r="G170" s="19">
        <f>IFERROR(VLOOKUP(C170,MATERIALES!$A:$I,9,0),0)</f>
        <v>0</v>
      </c>
      <c r="H170" s="20">
        <f t="shared" si="2"/>
        <v>0</v>
      </c>
      <c r="I170" s="17"/>
      <c r="J170" s="17"/>
    </row>
    <row r="171" spans="1:10">
      <c r="A171" s="16"/>
      <c r="B171" s="17"/>
      <c r="C171" s="17"/>
      <c r="D171" s="18" t="str">
        <f>IFERROR(VLOOKUP(C171,MATERIALES!$A:$B,2,0),"")</f>
        <v/>
      </c>
      <c r="E171" s="17"/>
      <c r="F171" s="18" t="str">
        <f>IFERROR(VLOOKUP(C171,MATERIALES!$A:$F,6,0),"")</f>
        <v/>
      </c>
      <c r="G171" s="19">
        <f>IFERROR(VLOOKUP(C171,MATERIALES!$A:$I,9,0),0)</f>
        <v>0</v>
      </c>
      <c r="H171" s="20">
        <f t="shared" si="2"/>
        <v>0</v>
      </c>
      <c r="I171" s="17"/>
      <c r="J171" s="17"/>
    </row>
    <row r="172" spans="1:10">
      <c r="A172" s="16"/>
      <c r="B172" s="17"/>
      <c r="C172" s="17"/>
      <c r="D172" s="18" t="str">
        <f>IFERROR(VLOOKUP(C172,MATERIALES!$A:$B,2,0),"")</f>
        <v/>
      </c>
      <c r="E172" s="17"/>
      <c r="F172" s="18" t="str">
        <f>IFERROR(VLOOKUP(C172,MATERIALES!$A:$F,6,0),"")</f>
        <v/>
      </c>
      <c r="G172" s="19">
        <f>IFERROR(VLOOKUP(C172,MATERIALES!$A:$I,9,0),0)</f>
        <v>0</v>
      </c>
      <c r="H172" s="20">
        <f t="shared" si="2"/>
        <v>0</v>
      </c>
      <c r="I172" s="17"/>
      <c r="J172" s="17"/>
    </row>
    <row r="173" spans="1:10">
      <c r="A173" s="16"/>
      <c r="B173" s="17"/>
      <c r="C173" s="17"/>
      <c r="D173" s="18" t="str">
        <f>IFERROR(VLOOKUP(C173,MATERIALES!$A:$B,2,0),"")</f>
        <v/>
      </c>
      <c r="E173" s="17"/>
      <c r="F173" s="18" t="str">
        <f>IFERROR(VLOOKUP(C173,MATERIALES!$A:$F,6,0),"")</f>
        <v/>
      </c>
      <c r="G173" s="19">
        <f>IFERROR(VLOOKUP(C173,MATERIALES!$A:$I,9,0),0)</f>
        <v>0</v>
      </c>
      <c r="H173" s="20">
        <f t="shared" si="2"/>
        <v>0</v>
      </c>
      <c r="I173" s="17"/>
      <c r="J173" s="17"/>
    </row>
    <row r="174" spans="1:10">
      <c r="A174" s="16"/>
      <c r="B174" s="17"/>
      <c r="C174" s="17"/>
      <c r="D174" s="18" t="str">
        <f>IFERROR(VLOOKUP(C174,MATERIALES!$A:$B,2,0),"")</f>
        <v/>
      </c>
      <c r="E174" s="17"/>
      <c r="F174" s="18" t="str">
        <f>IFERROR(VLOOKUP(C174,MATERIALES!$A:$F,6,0),"")</f>
        <v/>
      </c>
      <c r="G174" s="19">
        <f>IFERROR(VLOOKUP(C174,MATERIALES!$A:$I,9,0),0)</f>
        <v>0</v>
      </c>
      <c r="H174" s="20">
        <f t="shared" si="2"/>
        <v>0</v>
      </c>
      <c r="I174" s="17"/>
      <c r="J174" s="17"/>
    </row>
    <row r="175" spans="1:10">
      <c r="A175" s="16"/>
      <c r="B175" s="17"/>
      <c r="C175" s="17"/>
      <c r="D175" s="18" t="str">
        <f>IFERROR(VLOOKUP(C175,MATERIALES!$A:$B,2,0),"")</f>
        <v/>
      </c>
      <c r="E175" s="17"/>
      <c r="F175" s="18" t="str">
        <f>IFERROR(VLOOKUP(C175,MATERIALES!$A:$F,6,0),"")</f>
        <v/>
      </c>
      <c r="G175" s="19">
        <f>IFERROR(VLOOKUP(C175,MATERIALES!$A:$I,9,0),0)</f>
        <v>0</v>
      </c>
      <c r="H175" s="20">
        <f t="shared" si="2"/>
        <v>0</v>
      </c>
      <c r="I175" s="17"/>
      <c r="J175" s="17"/>
    </row>
    <row r="176" spans="1:10">
      <c r="A176" s="16"/>
      <c r="B176" s="17"/>
      <c r="C176" s="17"/>
      <c r="D176" s="18" t="str">
        <f>IFERROR(VLOOKUP(C176,MATERIALES!$A:$B,2,0),"")</f>
        <v/>
      </c>
      <c r="E176" s="17"/>
      <c r="F176" s="18" t="str">
        <f>IFERROR(VLOOKUP(C176,MATERIALES!$A:$F,6,0),"")</f>
        <v/>
      </c>
      <c r="G176" s="19">
        <f>IFERROR(VLOOKUP(C176,MATERIALES!$A:$I,9,0),0)</f>
        <v>0</v>
      </c>
      <c r="H176" s="20">
        <f t="shared" si="2"/>
        <v>0</v>
      </c>
      <c r="I176" s="17"/>
      <c r="J176" s="17"/>
    </row>
    <row r="177" spans="1:10">
      <c r="A177" s="16"/>
      <c r="B177" s="17"/>
      <c r="C177" s="17"/>
      <c r="D177" s="18" t="str">
        <f>IFERROR(VLOOKUP(C177,MATERIALES!$A:$B,2,0),"")</f>
        <v/>
      </c>
      <c r="E177" s="17"/>
      <c r="F177" s="18" t="str">
        <f>IFERROR(VLOOKUP(C177,MATERIALES!$A:$F,6,0),"")</f>
        <v/>
      </c>
      <c r="G177" s="19">
        <f>IFERROR(VLOOKUP(C177,MATERIALES!$A:$I,9,0),0)</f>
        <v>0</v>
      </c>
      <c r="H177" s="20">
        <f t="shared" si="2"/>
        <v>0</v>
      </c>
      <c r="I177" s="17"/>
      <c r="J177" s="17"/>
    </row>
    <row r="178" spans="1:10">
      <c r="A178" s="16"/>
      <c r="B178" s="17"/>
      <c r="C178" s="17"/>
      <c r="D178" s="18" t="str">
        <f>IFERROR(VLOOKUP(C178,MATERIALES!$A:$B,2,0),"")</f>
        <v/>
      </c>
      <c r="E178" s="17"/>
      <c r="F178" s="18" t="str">
        <f>IFERROR(VLOOKUP(C178,MATERIALES!$A:$F,6,0),"")</f>
        <v/>
      </c>
      <c r="G178" s="19">
        <f>IFERROR(VLOOKUP(C178,MATERIALES!$A:$I,9,0),0)</f>
        <v>0</v>
      </c>
      <c r="H178" s="20">
        <f t="shared" si="2"/>
        <v>0</v>
      </c>
      <c r="I178" s="17"/>
      <c r="J178" s="17"/>
    </row>
    <row r="179" spans="1:10">
      <c r="A179" s="16"/>
      <c r="B179" s="17"/>
      <c r="C179" s="17"/>
      <c r="D179" s="18" t="str">
        <f>IFERROR(VLOOKUP(C179,MATERIALES!$A:$B,2,0),"")</f>
        <v/>
      </c>
      <c r="E179" s="17"/>
      <c r="F179" s="18" t="str">
        <f>IFERROR(VLOOKUP(C179,MATERIALES!$A:$F,6,0),"")</f>
        <v/>
      </c>
      <c r="G179" s="19">
        <f>IFERROR(VLOOKUP(C179,MATERIALES!$A:$I,9,0),0)</f>
        <v>0</v>
      </c>
      <c r="H179" s="20">
        <f t="shared" si="2"/>
        <v>0</v>
      </c>
      <c r="I179" s="17"/>
      <c r="J179" s="17"/>
    </row>
    <row r="180" spans="1:10">
      <c r="A180" s="16"/>
      <c r="B180" s="17"/>
      <c r="C180" s="17"/>
      <c r="D180" s="18" t="str">
        <f>IFERROR(VLOOKUP(C180,MATERIALES!$A:$B,2,0),"")</f>
        <v/>
      </c>
      <c r="E180" s="17"/>
      <c r="F180" s="18" t="str">
        <f>IFERROR(VLOOKUP(C180,MATERIALES!$A:$F,6,0),"")</f>
        <v/>
      </c>
      <c r="G180" s="19">
        <f>IFERROR(VLOOKUP(C180,MATERIALES!$A:$I,9,0),0)</f>
        <v>0</v>
      </c>
      <c r="H180" s="20">
        <f t="shared" si="2"/>
        <v>0</v>
      </c>
      <c r="I180" s="17"/>
      <c r="J180" s="17"/>
    </row>
    <row r="181" spans="1:10">
      <c r="A181" s="16"/>
      <c r="B181" s="17"/>
      <c r="C181" s="17"/>
      <c r="D181" s="18" t="str">
        <f>IFERROR(VLOOKUP(C181,MATERIALES!$A:$B,2,0),"")</f>
        <v/>
      </c>
      <c r="E181" s="17"/>
      <c r="F181" s="18" t="str">
        <f>IFERROR(VLOOKUP(C181,MATERIALES!$A:$F,6,0),"")</f>
        <v/>
      </c>
      <c r="G181" s="19">
        <f>IFERROR(VLOOKUP(C181,MATERIALES!$A:$I,9,0),0)</f>
        <v>0</v>
      </c>
      <c r="H181" s="20">
        <f t="shared" si="2"/>
        <v>0</v>
      </c>
      <c r="I181" s="17"/>
      <c r="J181" s="17"/>
    </row>
    <row r="182" spans="1:10">
      <c r="A182" s="16"/>
      <c r="B182" s="17"/>
      <c r="C182" s="17"/>
      <c r="D182" s="18" t="str">
        <f>IFERROR(VLOOKUP(C182,MATERIALES!$A:$B,2,0),"")</f>
        <v/>
      </c>
      <c r="E182" s="17"/>
      <c r="F182" s="18" t="str">
        <f>IFERROR(VLOOKUP(C182,MATERIALES!$A:$F,6,0),"")</f>
        <v/>
      </c>
      <c r="G182" s="19">
        <f>IFERROR(VLOOKUP(C182,MATERIALES!$A:$I,9,0),0)</f>
        <v>0</v>
      </c>
      <c r="H182" s="20">
        <f t="shared" si="2"/>
        <v>0</v>
      </c>
      <c r="I182" s="17"/>
      <c r="J182" s="17"/>
    </row>
    <row r="183" spans="1:10">
      <c r="A183" s="16"/>
      <c r="B183" s="17"/>
      <c r="C183" s="17"/>
      <c r="D183" s="18" t="str">
        <f>IFERROR(VLOOKUP(C183,MATERIALES!$A:$B,2,0),"")</f>
        <v/>
      </c>
      <c r="E183" s="17"/>
      <c r="F183" s="18" t="str">
        <f>IFERROR(VLOOKUP(C183,MATERIALES!$A:$F,6,0),"")</f>
        <v/>
      </c>
      <c r="G183" s="19">
        <f>IFERROR(VLOOKUP(C183,MATERIALES!$A:$I,9,0),0)</f>
        <v>0</v>
      </c>
      <c r="H183" s="20">
        <f t="shared" si="2"/>
        <v>0</v>
      </c>
      <c r="I183" s="17"/>
      <c r="J183" s="17"/>
    </row>
    <row r="184" spans="1:10">
      <c r="A184" s="16"/>
      <c r="B184" s="17"/>
      <c r="C184" s="17"/>
      <c r="D184" s="18" t="str">
        <f>IFERROR(VLOOKUP(C184,MATERIALES!$A:$B,2,0),"")</f>
        <v/>
      </c>
      <c r="E184" s="17"/>
      <c r="F184" s="18" t="str">
        <f>IFERROR(VLOOKUP(C184,MATERIALES!$A:$F,6,0),"")</f>
        <v/>
      </c>
      <c r="G184" s="19">
        <f>IFERROR(VLOOKUP(C184,MATERIALES!$A:$I,9,0),0)</f>
        <v>0</v>
      </c>
      <c r="H184" s="20">
        <f t="shared" si="2"/>
        <v>0</v>
      </c>
      <c r="I184" s="17"/>
      <c r="J184" s="17"/>
    </row>
    <row r="185" spans="1:10">
      <c r="A185" s="16"/>
      <c r="B185" s="17"/>
      <c r="C185" s="17"/>
      <c r="D185" s="18" t="str">
        <f>IFERROR(VLOOKUP(C185,MATERIALES!$A:$B,2,0),"")</f>
        <v/>
      </c>
      <c r="E185" s="17"/>
      <c r="F185" s="18" t="str">
        <f>IFERROR(VLOOKUP(C185,MATERIALES!$A:$F,6,0),"")</f>
        <v/>
      </c>
      <c r="G185" s="19">
        <f>IFERROR(VLOOKUP(C185,MATERIALES!$A:$I,9,0),0)</f>
        <v>0</v>
      </c>
      <c r="H185" s="20">
        <f t="shared" si="2"/>
        <v>0</v>
      </c>
      <c r="I185" s="17"/>
      <c r="J185" s="17"/>
    </row>
    <row r="186" spans="1:10">
      <c r="A186" s="16"/>
      <c r="B186" s="17"/>
      <c r="C186" s="17"/>
      <c r="D186" s="18" t="str">
        <f>IFERROR(VLOOKUP(C186,MATERIALES!$A:$B,2,0),"")</f>
        <v/>
      </c>
      <c r="E186" s="17"/>
      <c r="F186" s="18" t="str">
        <f>IFERROR(VLOOKUP(C186,MATERIALES!$A:$F,6,0),"")</f>
        <v/>
      </c>
      <c r="G186" s="19">
        <f>IFERROR(VLOOKUP(C186,MATERIALES!$A:$I,9,0),0)</f>
        <v>0</v>
      </c>
      <c r="H186" s="20">
        <f t="shared" si="2"/>
        <v>0</v>
      </c>
      <c r="I186" s="17"/>
      <c r="J186" s="17"/>
    </row>
    <row r="187" spans="1:10">
      <c r="A187" s="16"/>
      <c r="B187" s="17"/>
      <c r="C187" s="17"/>
      <c r="D187" s="18" t="str">
        <f>IFERROR(VLOOKUP(C187,MATERIALES!$A:$B,2,0),"")</f>
        <v/>
      </c>
      <c r="E187" s="17"/>
      <c r="F187" s="18" t="str">
        <f>IFERROR(VLOOKUP(C187,MATERIALES!$A:$F,6,0),"")</f>
        <v/>
      </c>
      <c r="G187" s="19">
        <f>IFERROR(VLOOKUP(C187,MATERIALES!$A:$I,9,0),0)</f>
        <v>0</v>
      </c>
      <c r="H187" s="20">
        <f t="shared" si="2"/>
        <v>0</v>
      </c>
      <c r="I187" s="17"/>
      <c r="J187" s="17"/>
    </row>
    <row r="188" spans="1:10">
      <c r="A188" s="16"/>
      <c r="B188" s="17"/>
      <c r="C188" s="17"/>
      <c r="D188" s="18" t="str">
        <f>IFERROR(VLOOKUP(C188,MATERIALES!$A:$B,2,0),"")</f>
        <v/>
      </c>
      <c r="E188" s="17"/>
      <c r="F188" s="18" t="str">
        <f>IFERROR(VLOOKUP(C188,MATERIALES!$A:$F,6,0),"")</f>
        <v/>
      </c>
      <c r="G188" s="19">
        <f>IFERROR(VLOOKUP(C188,MATERIALES!$A:$I,9,0),0)</f>
        <v>0</v>
      </c>
      <c r="H188" s="20">
        <f t="shared" si="2"/>
        <v>0</v>
      </c>
      <c r="I188" s="17"/>
      <c r="J188" s="17"/>
    </row>
    <row r="189" spans="1:10">
      <c r="A189" s="16"/>
      <c r="B189" s="17"/>
      <c r="C189" s="17"/>
      <c r="D189" s="18" t="str">
        <f>IFERROR(VLOOKUP(C189,MATERIALES!$A:$B,2,0),"")</f>
        <v/>
      </c>
      <c r="E189" s="17"/>
      <c r="F189" s="18" t="str">
        <f>IFERROR(VLOOKUP(C189,MATERIALES!$A:$F,6,0),"")</f>
        <v/>
      </c>
      <c r="G189" s="19">
        <f>IFERROR(VLOOKUP(C189,MATERIALES!$A:$I,9,0),0)</f>
        <v>0</v>
      </c>
      <c r="H189" s="20">
        <f t="shared" si="2"/>
        <v>0</v>
      </c>
      <c r="I189" s="17"/>
      <c r="J189" s="17"/>
    </row>
    <row r="190" spans="1:10">
      <c r="A190" s="16"/>
      <c r="B190" s="17"/>
      <c r="C190" s="17"/>
      <c r="D190" s="18" t="str">
        <f>IFERROR(VLOOKUP(C190,MATERIALES!$A:$B,2,0),"")</f>
        <v/>
      </c>
      <c r="E190" s="17"/>
      <c r="F190" s="18" t="str">
        <f>IFERROR(VLOOKUP(C190,MATERIALES!$A:$F,6,0),"")</f>
        <v/>
      </c>
      <c r="G190" s="19">
        <f>IFERROR(VLOOKUP(C190,MATERIALES!$A:$I,9,0),0)</f>
        <v>0</v>
      </c>
      <c r="H190" s="20">
        <f t="shared" si="2"/>
        <v>0</v>
      </c>
      <c r="I190" s="17"/>
      <c r="J190" s="17"/>
    </row>
    <row r="191" spans="1:10">
      <c r="A191" s="16"/>
      <c r="B191" s="17"/>
      <c r="C191" s="17"/>
      <c r="D191" s="18" t="str">
        <f>IFERROR(VLOOKUP(C191,MATERIALES!$A:$B,2,0),"")</f>
        <v/>
      </c>
      <c r="E191" s="17"/>
      <c r="F191" s="18" t="str">
        <f>IFERROR(VLOOKUP(C191,MATERIALES!$A:$F,6,0),"")</f>
        <v/>
      </c>
      <c r="G191" s="19">
        <f>IFERROR(VLOOKUP(C191,MATERIALES!$A:$I,9,0),0)</f>
        <v>0</v>
      </c>
      <c r="H191" s="20">
        <f t="shared" si="2"/>
        <v>0</v>
      </c>
      <c r="I191" s="17"/>
      <c r="J191" s="17"/>
    </row>
    <row r="192" spans="1:10">
      <c r="A192" s="16"/>
      <c r="B192" s="17"/>
      <c r="C192" s="17"/>
      <c r="D192" s="18" t="str">
        <f>IFERROR(VLOOKUP(C192,MATERIALES!$A:$B,2,0),"")</f>
        <v/>
      </c>
      <c r="E192" s="17"/>
      <c r="F192" s="18" t="str">
        <f>IFERROR(VLOOKUP(C192,MATERIALES!$A:$F,6,0),"")</f>
        <v/>
      </c>
      <c r="G192" s="19">
        <f>IFERROR(VLOOKUP(C192,MATERIALES!$A:$I,9,0),0)</f>
        <v>0</v>
      </c>
      <c r="H192" s="20">
        <f t="shared" si="2"/>
        <v>0</v>
      </c>
      <c r="I192" s="17"/>
      <c r="J192" s="17"/>
    </row>
    <row r="193" spans="1:10">
      <c r="A193" s="16"/>
      <c r="B193" s="17"/>
      <c r="C193" s="17"/>
      <c r="D193" s="18" t="str">
        <f>IFERROR(VLOOKUP(C193,MATERIALES!$A:$B,2,0),"")</f>
        <v/>
      </c>
      <c r="E193" s="17"/>
      <c r="F193" s="18" t="str">
        <f>IFERROR(VLOOKUP(C193,MATERIALES!$A:$F,6,0),"")</f>
        <v/>
      </c>
      <c r="G193" s="19">
        <f>IFERROR(VLOOKUP(C193,MATERIALES!$A:$I,9,0),0)</f>
        <v>0</v>
      </c>
      <c r="H193" s="20">
        <f t="shared" si="2"/>
        <v>0</v>
      </c>
      <c r="I193" s="17"/>
      <c r="J193" s="17"/>
    </row>
    <row r="194" spans="1:10">
      <c r="A194" s="16"/>
      <c r="B194" s="17"/>
      <c r="C194" s="17"/>
      <c r="D194" s="18" t="str">
        <f>IFERROR(VLOOKUP(C194,MATERIALES!$A:$B,2,0),"")</f>
        <v/>
      </c>
      <c r="E194" s="17"/>
      <c r="F194" s="18" t="str">
        <f>IFERROR(VLOOKUP(C194,MATERIALES!$A:$F,6,0),"")</f>
        <v/>
      </c>
      <c r="G194" s="19">
        <f>IFERROR(VLOOKUP(C194,MATERIALES!$A:$I,9,0),0)</f>
        <v>0</v>
      </c>
      <c r="H194" s="20">
        <f t="shared" si="2"/>
        <v>0</v>
      </c>
      <c r="I194" s="17"/>
      <c r="J194" s="17"/>
    </row>
    <row r="195" spans="1:10">
      <c r="A195" s="16"/>
      <c r="B195" s="17"/>
      <c r="C195" s="17"/>
      <c r="D195" s="18" t="str">
        <f>IFERROR(VLOOKUP(C195,MATERIALES!$A:$B,2,0),"")</f>
        <v/>
      </c>
      <c r="E195" s="17"/>
      <c r="F195" s="18" t="str">
        <f>IFERROR(VLOOKUP(C195,MATERIALES!$A:$F,6,0),"")</f>
        <v/>
      </c>
      <c r="G195" s="19">
        <f>IFERROR(VLOOKUP(C195,MATERIALES!$A:$I,9,0),0)</f>
        <v>0</v>
      </c>
      <c r="H195" s="20">
        <f t="shared" si="2"/>
        <v>0</v>
      </c>
      <c r="I195" s="17"/>
      <c r="J195" s="17"/>
    </row>
    <row r="196" spans="1:10">
      <c r="A196" s="16"/>
      <c r="B196" s="17"/>
      <c r="C196" s="17"/>
      <c r="D196" s="18" t="str">
        <f>IFERROR(VLOOKUP(C196,MATERIALES!$A:$B,2,0),"")</f>
        <v/>
      </c>
      <c r="E196" s="17"/>
      <c r="F196" s="18" t="str">
        <f>IFERROR(VLOOKUP(C196,MATERIALES!$A:$F,6,0),"")</f>
        <v/>
      </c>
      <c r="G196" s="19">
        <f>IFERROR(VLOOKUP(C196,MATERIALES!$A:$I,9,0),0)</f>
        <v>0</v>
      </c>
      <c r="H196" s="20">
        <f t="shared" si="2"/>
        <v>0</v>
      </c>
      <c r="I196" s="17"/>
      <c r="J196" s="17"/>
    </row>
    <row r="197" spans="1:10">
      <c r="A197" s="16"/>
      <c r="B197" s="17"/>
      <c r="C197" s="17"/>
      <c r="D197" s="18" t="str">
        <f>IFERROR(VLOOKUP(C197,MATERIALES!$A:$B,2,0),"")</f>
        <v/>
      </c>
      <c r="E197" s="17"/>
      <c r="F197" s="18" t="str">
        <f>IFERROR(VLOOKUP(C197,MATERIALES!$A:$F,6,0),"")</f>
        <v/>
      </c>
      <c r="G197" s="19">
        <f>IFERROR(VLOOKUP(C197,MATERIALES!$A:$I,9,0),0)</f>
        <v>0</v>
      </c>
      <c r="H197" s="20">
        <f t="shared" ref="H197:H260" si="3">IFERROR(E197*G197,0)</f>
        <v>0</v>
      </c>
      <c r="I197" s="17"/>
      <c r="J197" s="17"/>
    </row>
    <row r="198" spans="1:10">
      <c r="A198" s="16"/>
      <c r="B198" s="17"/>
      <c r="C198" s="17"/>
      <c r="D198" s="18" t="str">
        <f>IFERROR(VLOOKUP(C198,MATERIALES!$A:$B,2,0),"")</f>
        <v/>
      </c>
      <c r="E198" s="17"/>
      <c r="F198" s="18" t="str">
        <f>IFERROR(VLOOKUP(C198,MATERIALES!$A:$F,6,0),"")</f>
        <v/>
      </c>
      <c r="G198" s="19">
        <f>IFERROR(VLOOKUP(C198,MATERIALES!$A:$I,9,0),0)</f>
        <v>0</v>
      </c>
      <c r="H198" s="20">
        <f t="shared" si="3"/>
        <v>0</v>
      </c>
      <c r="I198" s="17"/>
      <c r="J198" s="17"/>
    </row>
    <row r="199" spans="1:10">
      <c r="A199" s="16"/>
      <c r="B199" s="17"/>
      <c r="C199" s="17"/>
      <c r="D199" s="18" t="str">
        <f>IFERROR(VLOOKUP(C199,MATERIALES!$A:$B,2,0),"")</f>
        <v/>
      </c>
      <c r="E199" s="17"/>
      <c r="F199" s="18" t="str">
        <f>IFERROR(VLOOKUP(C199,MATERIALES!$A:$F,6,0),"")</f>
        <v/>
      </c>
      <c r="G199" s="19">
        <f>IFERROR(VLOOKUP(C199,MATERIALES!$A:$I,9,0),0)</f>
        <v>0</v>
      </c>
      <c r="H199" s="20">
        <f t="shared" si="3"/>
        <v>0</v>
      </c>
      <c r="I199" s="17"/>
      <c r="J199" s="17"/>
    </row>
    <row r="200" spans="1:10">
      <c r="A200" s="16"/>
      <c r="B200" s="17"/>
      <c r="C200" s="17"/>
      <c r="D200" s="18" t="str">
        <f>IFERROR(VLOOKUP(C200,MATERIALES!$A:$B,2,0),"")</f>
        <v/>
      </c>
      <c r="E200" s="17"/>
      <c r="F200" s="18" t="str">
        <f>IFERROR(VLOOKUP(C200,MATERIALES!$A:$F,6,0),"")</f>
        <v/>
      </c>
      <c r="G200" s="19">
        <f>IFERROR(VLOOKUP(C200,MATERIALES!$A:$I,9,0),0)</f>
        <v>0</v>
      </c>
      <c r="H200" s="20">
        <f t="shared" si="3"/>
        <v>0</v>
      </c>
      <c r="I200" s="17"/>
      <c r="J200" s="17"/>
    </row>
    <row r="201" spans="1:10">
      <c r="A201" s="16"/>
      <c r="B201" s="17"/>
      <c r="C201" s="17"/>
      <c r="D201" s="18" t="str">
        <f>IFERROR(VLOOKUP(C201,MATERIALES!$A:$B,2,0),"")</f>
        <v/>
      </c>
      <c r="E201" s="17"/>
      <c r="F201" s="18" t="str">
        <f>IFERROR(VLOOKUP(C201,MATERIALES!$A:$F,6,0),"")</f>
        <v/>
      </c>
      <c r="G201" s="19">
        <f>IFERROR(VLOOKUP(C201,MATERIALES!$A:$I,9,0),0)</f>
        <v>0</v>
      </c>
      <c r="H201" s="20">
        <f t="shared" si="3"/>
        <v>0</v>
      </c>
      <c r="I201" s="17"/>
      <c r="J201" s="17"/>
    </row>
    <row r="202" spans="1:10">
      <c r="A202" s="16"/>
      <c r="B202" s="17"/>
      <c r="C202" s="17"/>
      <c r="D202" s="18" t="str">
        <f>IFERROR(VLOOKUP(C202,MATERIALES!$A:$B,2,0),"")</f>
        <v/>
      </c>
      <c r="E202" s="17"/>
      <c r="F202" s="18" t="str">
        <f>IFERROR(VLOOKUP(C202,MATERIALES!$A:$F,6,0),"")</f>
        <v/>
      </c>
      <c r="G202" s="19">
        <f>IFERROR(VLOOKUP(C202,MATERIALES!$A:$I,9,0),0)</f>
        <v>0</v>
      </c>
      <c r="H202" s="20">
        <f t="shared" si="3"/>
        <v>0</v>
      </c>
      <c r="I202" s="17"/>
      <c r="J202" s="17"/>
    </row>
    <row r="203" spans="1:10">
      <c r="A203" s="16"/>
      <c r="B203" s="17"/>
      <c r="C203" s="17"/>
      <c r="D203" s="18" t="str">
        <f>IFERROR(VLOOKUP(C203,MATERIALES!$A:$B,2,0),"")</f>
        <v/>
      </c>
      <c r="E203" s="17"/>
      <c r="F203" s="18" t="str">
        <f>IFERROR(VLOOKUP(C203,MATERIALES!$A:$F,6,0),"")</f>
        <v/>
      </c>
      <c r="G203" s="19">
        <f>IFERROR(VLOOKUP(C203,MATERIALES!$A:$I,9,0),0)</f>
        <v>0</v>
      </c>
      <c r="H203" s="20">
        <f t="shared" si="3"/>
        <v>0</v>
      </c>
      <c r="I203" s="17"/>
      <c r="J203" s="17"/>
    </row>
    <row r="204" spans="1:10">
      <c r="A204" s="16"/>
      <c r="B204" s="17"/>
      <c r="C204" s="17"/>
      <c r="D204" s="18" t="str">
        <f>IFERROR(VLOOKUP(C204,MATERIALES!$A:$B,2,0),"")</f>
        <v/>
      </c>
      <c r="E204" s="17"/>
      <c r="F204" s="18" t="str">
        <f>IFERROR(VLOOKUP(C204,MATERIALES!$A:$F,6,0),"")</f>
        <v/>
      </c>
      <c r="G204" s="19">
        <f>IFERROR(VLOOKUP(C204,MATERIALES!$A:$I,9,0),0)</f>
        <v>0</v>
      </c>
      <c r="H204" s="20">
        <f t="shared" si="3"/>
        <v>0</v>
      </c>
      <c r="I204" s="17"/>
      <c r="J204" s="17"/>
    </row>
    <row r="205" spans="1:10">
      <c r="A205" s="16"/>
      <c r="B205" s="17"/>
      <c r="C205" s="17"/>
      <c r="D205" s="18" t="str">
        <f>IFERROR(VLOOKUP(C205,MATERIALES!$A:$B,2,0),"")</f>
        <v/>
      </c>
      <c r="E205" s="17"/>
      <c r="F205" s="18" t="str">
        <f>IFERROR(VLOOKUP(C205,MATERIALES!$A:$F,6,0),"")</f>
        <v/>
      </c>
      <c r="G205" s="19">
        <f>IFERROR(VLOOKUP(C205,MATERIALES!$A:$I,9,0),0)</f>
        <v>0</v>
      </c>
      <c r="H205" s="20">
        <f t="shared" si="3"/>
        <v>0</v>
      </c>
      <c r="I205" s="17"/>
      <c r="J205" s="17"/>
    </row>
    <row r="206" spans="1:10">
      <c r="A206" s="16"/>
      <c r="B206" s="17"/>
      <c r="C206" s="17"/>
      <c r="D206" s="18" t="str">
        <f>IFERROR(VLOOKUP(C206,MATERIALES!$A:$B,2,0),"")</f>
        <v/>
      </c>
      <c r="E206" s="17"/>
      <c r="F206" s="18" t="str">
        <f>IFERROR(VLOOKUP(C206,MATERIALES!$A:$F,6,0),"")</f>
        <v/>
      </c>
      <c r="G206" s="19">
        <f>IFERROR(VLOOKUP(C206,MATERIALES!$A:$I,9,0),0)</f>
        <v>0</v>
      </c>
      <c r="H206" s="20">
        <f t="shared" si="3"/>
        <v>0</v>
      </c>
      <c r="I206" s="17"/>
      <c r="J206" s="17"/>
    </row>
    <row r="207" spans="1:10">
      <c r="A207" s="16"/>
      <c r="B207" s="17"/>
      <c r="C207" s="17"/>
      <c r="D207" s="18" t="str">
        <f>IFERROR(VLOOKUP(C207,MATERIALES!$A:$B,2,0),"")</f>
        <v/>
      </c>
      <c r="E207" s="17"/>
      <c r="F207" s="18" t="str">
        <f>IFERROR(VLOOKUP(C207,MATERIALES!$A:$F,6,0),"")</f>
        <v/>
      </c>
      <c r="G207" s="19">
        <f>IFERROR(VLOOKUP(C207,MATERIALES!$A:$I,9,0),0)</f>
        <v>0</v>
      </c>
      <c r="H207" s="20">
        <f t="shared" si="3"/>
        <v>0</v>
      </c>
      <c r="I207" s="17"/>
      <c r="J207" s="17"/>
    </row>
    <row r="208" spans="1:10">
      <c r="A208" s="16"/>
      <c r="B208" s="17"/>
      <c r="C208" s="17"/>
      <c r="D208" s="18" t="str">
        <f>IFERROR(VLOOKUP(C208,MATERIALES!$A:$B,2,0),"")</f>
        <v/>
      </c>
      <c r="E208" s="17"/>
      <c r="F208" s="18" t="str">
        <f>IFERROR(VLOOKUP(C208,MATERIALES!$A:$F,6,0),"")</f>
        <v/>
      </c>
      <c r="G208" s="19">
        <f>IFERROR(VLOOKUP(C208,MATERIALES!$A:$I,9,0),0)</f>
        <v>0</v>
      </c>
      <c r="H208" s="20">
        <f t="shared" si="3"/>
        <v>0</v>
      </c>
      <c r="I208" s="17"/>
      <c r="J208" s="17"/>
    </row>
    <row r="209" spans="1:10">
      <c r="A209" s="16"/>
      <c r="B209" s="17"/>
      <c r="C209" s="17"/>
      <c r="D209" s="18" t="str">
        <f>IFERROR(VLOOKUP(C209,MATERIALES!$A:$B,2,0),"")</f>
        <v/>
      </c>
      <c r="E209" s="17"/>
      <c r="F209" s="18" t="str">
        <f>IFERROR(VLOOKUP(C209,MATERIALES!$A:$F,6,0),"")</f>
        <v/>
      </c>
      <c r="G209" s="19">
        <f>IFERROR(VLOOKUP(C209,MATERIALES!$A:$I,9,0),0)</f>
        <v>0</v>
      </c>
      <c r="H209" s="20">
        <f t="shared" si="3"/>
        <v>0</v>
      </c>
      <c r="I209" s="17"/>
      <c r="J209" s="17"/>
    </row>
    <row r="210" spans="1:10">
      <c r="A210" s="16"/>
      <c r="B210" s="17"/>
      <c r="C210" s="17"/>
      <c r="D210" s="18" t="str">
        <f>IFERROR(VLOOKUP(C210,MATERIALES!$A:$B,2,0),"")</f>
        <v/>
      </c>
      <c r="E210" s="17"/>
      <c r="F210" s="18" t="str">
        <f>IFERROR(VLOOKUP(C210,MATERIALES!$A:$F,6,0),"")</f>
        <v/>
      </c>
      <c r="G210" s="19">
        <f>IFERROR(VLOOKUP(C210,MATERIALES!$A:$I,9,0),0)</f>
        <v>0</v>
      </c>
      <c r="H210" s="20">
        <f t="shared" si="3"/>
        <v>0</v>
      </c>
      <c r="I210" s="17"/>
      <c r="J210" s="17"/>
    </row>
    <row r="211" spans="1:10">
      <c r="A211" s="16"/>
      <c r="B211" s="17"/>
      <c r="C211" s="17"/>
      <c r="D211" s="18" t="str">
        <f>IFERROR(VLOOKUP(C211,MATERIALES!$A:$B,2,0),"")</f>
        <v/>
      </c>
      <c r="E211" s="17"/>
      <c r="F211" s="18" t="str">
        <f>IFERROR(VLOOKUP(C211,MATERIALES!$A:$F,6,0),"")</f>
        <v/>
      </c>
      <c r="G211" s="19">
        <f>IFERROR(VLOOKUP(C211,MATERIALES!$A:$I,9,0),0)</f>
        <v>0</v>
      </c>
      <c r="H211" s="20">
        <f t="shared" si="3"/>
        <v>0</v>
      </c>
      <c r="I211" s="17"/>
      <c r="J211" s="17"/>
    </row>
    <row r="212" spans="1:10">
      <c r="A212" s="16"/>
      <c r="B212" s="17"/>
      <c r="C212" s="17"/>
      <c r="D212" s="18" t="str">
        <f>IFERROR(VLOOKUP(C212,MATERIALES!$A:$B,2,0),"")</f>
        <v/>
      </c>
      <c r="E212" s="17"/>
      <c r="F212" s="18" t="str">
        <f>IFERROR(VLOOKUP(C212,MATERIALES!$A:$F,6,0),"")</f>
        <v/>
      </c>
      <c r="G212" s="19">
        <f>IFERROR(VLOOKUP(C212,MATERIALES!$A:$I,9,0),0)</f>
        <v>0</v>
      </c>
      <c r="H212" s="20">
        <f t="shared" si="3"/>
        <v>0</v>
      </c>
      <c r="I212" s="17"/>
      <c r="J212" s="17"/>
    </row>
    <row r="213" spans="1:10">
      <c r="A213" s="16"/>
      <c r="B213" s="17"/>
      <c r="C213" s="17"/>
      <c r="D213" s="18" t="str">
        <f>IFERROR(VLOOKUP(C213,MATERIALES!$A:$B,2,0),"")</f>
        <v/>
      </c>
      <c r="E213" s="17"/>
      <c r="F213" s="18" t="str">
        <f>IFERROR(VLOOKUP(C213,MATERIALES!$A:$F,6,0),"")</f>
        <v/>
      </c>
      <c r="G213" s="19">
        <f>IFERROR(VLOOKUP(C213,MATERIALES!$A:$I,9,0),0)</f>
        <v>0</v>
      </c>
      <c r="H213" s="20">
        <f t="shared" si="3"/>
        <v>0</v>
      </c>
      <c r="I213" s="17"/>
      <c r="J213" s="17"/>
    </row>
    <row r="214" spans="1:10">
      <c r="A214" s="16"/>
      <c r="B214" s="17"/>
      <c r="C214" s="17"/>
      <c r="D214" s="18" t="str">
        <f>IFERROR(VLOOKUP(C214,MATERIALES!$A:$B,2,0),"")</f>
        <v/>
      </c>
      <c r="E214" s="17"/>
      <c r="F214" s="18" t="str">
        <f>IFERROR(VLOOKUP(C214,MATERIALES!$A:$F,6,0),"")</f>
        <v/>
      </c>
      <c r="G214" s="19">
        <f>IFERROR(VLOOKUP(C214,MATERIALES!$A:$I,9,0),0)</f>
        <v>0</v>
      </c>
      <c r="H214" s="20">
        <f t="shared" si="3"/>
        <v>0</v>
      </c>
      <c r="I214" s="17"/>
      <c r="J214" s="17"/>
    </row>
    <row r="215" spans="1:10">
      <c r="A215" s="16"/>
      <c r="B215" s="17"/>
      <c r="C215" s="17"/>
      <c r="D215" s="18" t="str">
        <f>IFERROR(VLOOKUP(C215,MATERIALES!$A:$B,2,0),"")</f>
        <v/>
      </c>
      <c r="E215" s="17"/>
      <c r="F215" s="18" t="str">
        <f>IFERROR(VLOOKUP(C215,MATERIALES!$A:$F,6,0),"")</f>
        <v/>
      </c>
      <c r="G215" s="19">
        <f>IFERROR(VLOOKUP(C215,MATERIALES!$A:$I,9,0),0)</f>
        <v>0</v>
      </c>
      <c r="H215" s="20">
        <f t="shared" si="3"/>
        <v>0</v>
      </c>
      <c r="I215" s="17"/>
      <c r="J215" s="17"/>
    </row>
    <row r="216" spans="1:10">
      <c r="A216" s="16"/>
      <c r="B216" s="17"/>
      <c r="C216" s="17"/>
      <c r="D216" s="18" t="str">
        <f>IFERROR(VLOOKUP(C216,MATERIALES!$A:$B,2,0),"")</f>
        <v/>
      </c>
      <c r="E216" s="17"/>
      <c r="F216" s="18" t="str">
        <f>IFERROR(VLOOKUP(C216,MATERIALES!$A:$F,6,0),"")</f>
        <v/>
      </c>
      <c r="G216" s="19">
        <f>IFERROR(VLOOKUP(C216,MATERIALES!$A:$I,9,0),0)</f>
        <v>0</v>
      </c>
      <c r="H216" s="20">
        <f t="shared" si="3"/>
        <v>0</v>
      </c>
      <c r="I216" s="17"/>
      <c r="J216" s="17"/>
    </row>
    <row r="217" spans="1:10">
      <c r="A217" s="16"/>
      <c r="B217" s="17"/>
      <c r="C217" s="17"/>
      <c r="D217" s="18" t="str">
        <f>IFERROR(VLOOKUP(C217,MATERIALES!$A:$B,2,0),"")</f>
        <v/>
      </c>
      <c r="E217" s="17"/>
      <c r="F217" s="18" t="str">
        <f>IFERROR(VLOOKUP(C217,MATERIALES!$A:$F,6,0),"")</f>
        <v/>
      </c>
      <c r="G217" s="19">
        <f>IFERROR(VLOOKUP(C217,MATERIALES!$A:$I,9,0),0)</f>
        <v>0</v>
      </c>
      <c r="H217" s="20">
        <f t="shared" si="3"/>
        <v>0</v>
      </c>
      <c r="I217" s="17"/>
      <c r="J217" s="17"/>
    </row>
    <row r="218" spans="1:10">
      <c r="A218" s="16"/>
      <c r="B218" s="17"/>
      <c r="C218" s="17"/>
      <c r="D218" s="18" t="str">
        <f>IFERROR(VLOOKUP(C218,MATERIALES!$A:$B,2,0),"")</f>
        <v/>
      </c>
      <c r="E218" s="17"/>
      <c r="F218" s="18" t="str">
        <f>IFERROR(VLOOKUP(C218,MATERIALES!$A:$F,6,0),"")</f>
        <v/>
      </c>
      <c r="G218" s="19">
        <f>IFERROR(VLOOKUP(C218,MATERIALES!$A:$I,9,0),0)</f>
        <v>0</v>
      </c>
      <c r="H218" s="20">
        <f t="shared" si="3"/>
        <v>0</v>
      </c>
      <c r="I218" s="17"/>
      <c r="J218" s="17"/>
    </row>
    <row r="219" spans="1:10">
      <c r="A219" s="16"/>
      <c r="B219" s="17"/>
      <c r="C219" s="17"/>
      <c r="D219" s="18" t="str">
        <f>IFERROR(VLOOKUP(C219,MATERIALES!$A:$B,2,0),"")</f>
        <v/>
      </c>
      <c r="E219" s="17"/>
      <c r="F219" s="18" t="str">
        <f>IFERROR(VLOOKUP(C219,MATERIALES!$A:$F,6,0),"")</f>
        <v/>
      </c>
      <c r="G219" s="19">
        <f>IFERROR(VLOOKUP(C219,MATERIALES!$A:$I,9,0),0)</f>
        <v>0</v>
      </c>
      <c r="H219" s="20">
        <f t="shared" si="3"/>
        <v>0</v>
      </c>
      <c r="I219" s="17"/>
      <c r="J219" s="17"/>
    </row>
    <row r="220" spans="1:10">
      <c r="A220" s="16"/>
      <c r="B220" s="17"/>
      <c r="C220" s="17"/>
      <c r="D220" s="18" t="str">
        <f>IFERROR(VLOOKUP(C220,MATERIALES!$A:$B,2,0),"")</f>
        <v/>
      </c>
      <c r="E220" s="17"/>
      <c r="F220" s="18" t="str">
        <f>IFERROR(VLOOKUP(C220,MATERIALES!$A:$F,6,0),"")</f>
        <v/>
      </c>
      <c r="G220" s="19">
        <f>IFERROR(VLOOKUP(C220,MATERIALES!$A:$I,9,0),0)</f>
        <v>0</v>
      </c>
      <c r="H220" s="20">
        <f t="shared" si="3"/>
        <v>0</v>
      </c>
      <c r="I220" s="17"/>
      <c r="J220" s="17"/>
    </row>
    <row r="221" spans="1:10">
      <c r="A221" s="16"/>
      <c r="B221" s="17"/>
      <c r="C221" s="17"/>
      <c r="D221" s="18" t="str">
        <f>IFERROR(VLOOKUP(C221,MATERIALES!$A:$B,2,0),"")</f>
        <v/>
      </c>
      <c r="E221" s="17"/>
      <c r="F221" s="18" t="str">
        <f>IFERROR(VLOOKUP(C221,MATERIALES!$A:$F,6,0),"")</f>
        <v/>
      </c>
      <c r="G221" s="19">
        <f>IFERROR(VLOOKUP(C221,MATERIALES!$A:$I,9,0),0)</f>
        <v>0</v>
      </c>
      <c r="H221" s="20">
        <f t="shared" si="3"/>
        <v>0</v>
      </c>
      <c r="I221" s="17"/>
      <c r="J221" s="17"/>
    </row>
    <row r="222" spans="1:10">
      <c r="A222" s="16"/>
      <c r="B222" s="17"/>
      <c r="C222" s="17"/>
      <c r="D222" s="18" t="str">
        <f>IFERROR(VLOOKUP(C222,MATERIALES!$A:$B,2,0),"")</f>
        <v/>
      </c>
      <c r="E222" s="17"/>
      <c r="F222" s="18" t="str">
        <f>IFERROR(VLOOKUP(C222,MATERIALES!$A:$F,6,0),"")</f>
        <v/>
      </c>
      <c r="G222" s="19">
        <f>IFERROR(VLOOKUP(C222,MATERIALES!$A:$I,9,0),0)</f>
        <v>0</v>
      </c>
      <c r="H222" s="20">
        <f t="shared" si="3"/>
        <v>0</v>
      </c>
      <c r="I222" s="17"/>
      <c r="J222" s="17"/>
    </row>
    <row r="223" spans="1:10">
      <c r="A223" s="16"/>
      <c r="B223" s="17"/>
      <c r="C223" s="17"/>
      <c r="D223" s="18" t="str">
        <f>IFERROR(VLOOKUP(C223,MATERIALES!$A:$B,2,0),"")</f>
        <v/>
      </c>
      <c r="E223" s="17"/>
      <c r="F223" s="18" t="str">
        <f>IFERROR(VLOOKUP(C223,MATERIALES!$A:$F,6,0),"")</f>
        <v/>
      </c>
      <c r="G223" s="19">
        <f>IFERROR(VLOOKUP(C223,MATERIALES!$A:$I,9,0),0)</f>
        <v>0</v>
      </c>
      <c r="H223" s="20">
        <f t="shared" si="3"/>
        <v>0</v>
      </c>
      <c r="I223" s="17"/>
      <c r="J223" s="17"/>
    </row>
    <row r="224" spans="1:10">
      <c r="A224" s="16"/>
      <c r="B224" s="17"/>
      <c r="C224" s="17"/>
      <c r="D224" s="18" t="str">
        <f>IFERROR(VLOOKUP(C224,MATERIALES!$A:$B,2,0),"")</f>
        <v/>
      </c>
      <c r="E224" s="17"/>
      <c r="F224" s="18" t="str">
        <f>IFERROR(VLOOKUP(C224,MATERIALES!$A:$F,6,0),"")</f>
        <v/>
      </c>
      <c r="G224" s="19">
        <f>IFERROR(VLOOKUP(C224,MATERIALES!$A:$I,9,0),0)</f>
        <v>0</v>
      </c>
      <c r="H224" s="20">
        <f t="shared" si="3"/>
        <v>0</v>
      </c>
      <c r="I224" s="17"/>
      <c r="J224" s="17"/>
    </row>
    <row r="225" spans="1:10">
      <c r="A225" s="16"/>
      <c r="B225" s="17"/>
      <c r="C225" s="17"/>
      <c r="D225" s="18" t="str">
        <f>IFERROR(VLOOKUP(C225,MATERIALES!$A:$B,2,0),"")</f>
        <v/>
      </c>
      <c r="E225" s="17"/>
      <c r="F225" s="18" t="str">
        <f>IFERROR(VLOOKUP(C225,MATERIALES!$A:$F,6,0),"")</f>
        <v/>
      </c>
      <c r="G225" s="19">
        <f>IFERROR(VLOOKUP(C225,MATERIALES!$A:$I,9,0),0)</f>
        <v>0</v>
      </c>
      <c r="H225" s="20">
        <f t="shared" si="3"/>
        <v>0</v>
      </c>
      <c r="I225" s="17"/>
      <c r="J225" s="17"/>
    </row>
    <row r="226" spans="1:10">
      <c r="A226" s="16"/>
      <c r="B226" s="17"/>
      <c r="C226" s="17"/>
      <c r="D226" s="18" t="str">
        <f>IFERROR(VLOOKUP(C226,MATERIALES!$A:$B,2,0),"")</f>
        <v/>
      </c>
      <c r="E226" s="17"/>
      <c r="F226" s="18" t="str">
        <f>IFERROR(VLOOKUP(C226,MATERIALES!$A:$F,6,0),"")</f>
        <v/>
      </c>
      <c r="G226" s="19">
        <f>IFERROR(VLOOKUP(C226,MATERIALES!$A:$I,9,0),0)</f>
        <v>0</v>
      </c>
      <c r="H226" s="20">
        <f t="shared" si="3"/>
        <v>0</v>
      </c>
      <c r="I226" s="17"/>
      <c r="J226" s="17"/>
    </row>
    <row r="227" spans="1:10">
      <c r="A227" s="16"/>
      <c r="B227" s="17"/>
      <c r="C227" s="17"/>
      <c r="D227" s="18" t="str">
        <f>IFERROR(VLOOKUP(C227,MATERIALES!$A:$B,2,0),"")</f>
        <v/>
      </c>
      <c r="E227" s="17"/>
      <c r="F227" s="18" t="str">
        <f>IFERROR(VLOOKUP(C227,MATERIALES!$A:$F,6,0),"")</f>
        <v/>
      </c>
      <c r="G227" s="19">
        <f>IFERROR(VLOOKUP(C227,MATERIALES!$A:$I,9,0),0)</f>
        <v>0</v>
      </c>
      <c r="H227" s="20">
        <f t="shared" si="3"/>
        <v>0</v>
      </c>
      <c r="I227" s="17"/>
      <c r="J227" s="17"/>
    </row>
    <row r="228" spans="1:10">
      <c r="A228" s="16"/>
      <c r="B228" s="17"/>
      <c r="C228" s="17"/>
      <c r="D228" s="18" t="str">
        <f>IFERROR(VLOOKUP(C228,MATERIALES!$A:$B,2,0),"")</f>
        <v/>
      </c>
      <c r="E228" s="17"/>
      <c r="F228" s="18" t="str">
        <f>IFERROR(VLOOKUP(C228,MATERIALES!$A:$F,6,0),"")</f>
        <v/>
      </c>
      <c r="G228" s="19">
        <f>IFERROR(VLOOKUP(C228,MATERIALES!$A:$I,9,0),0)</f>
        <v>0</v>
      </c>
      <c r="H228" s="20">
        <f t="shared" si="3"/>
        <v>0</v>
      </c>
      <c r="I228" s="17"/>
      <c r="J228" s="17"/>
    </row>
    <row r="229" spans="1:10">
      <c r="A229" s="16"/>
      <c r="B229" s="17"/>
      <c r="C229" s="17"/>
      <c r="D229" s="18" t="str">
        <f>IFERROR(VLOOKUP(C229,MATERIALES!$A:$B,2,0),"")</f>
        <v/>
      </c>
      <c r="E229" s="17"/>
      <c r="F229" s="18" t="str">
        <f>IFERROR(VLOOKUP(C229,MATERIALES!$A:$F,6,0),"")</f>
        <v/>
      </c>
      <c r="G229" s="19">
        <f>IFERROR(VLOOKUP(C229,MATERIALES!$A:$I,9,0),0)</f>
        <v>0</v>
      </c>
      <c r="H229" s="20">
        <f t="shared" si="3"/>
        <v>0</v>
      </c>
      <c r="I229" s="17"/>
      <c r="J229" s="17"/>
    </row>
    <row r="230" spans="1:10">
      <c r="A230" s="16"/>
      <c r="B230" s="17"/>
      <c r="C230" s="17"/>
      <c r="D230" s="18" t="str">
        <f>IFERROR(VLOOKUP(C230,MATERIALES!$A:$B,2,0),"")</f>
        <v/>
      </c>
      <c r="E230" s="17"/>
      <c r="F230" s="18" t="str">
        <f>IFERROR(VLOOKUP(C230,MATERIALES!$A:$F,6,0),"")</f>
        <v/>
      </c>
      <c r="G230" s="19">
        <f>IFERROR(VLOOKUP(C230,MATERIALES!$A:$I,9,0),0)</f>
        <v>0</v>
      </c>
      <c r="H230" s="20">
        <f t="shared" si="3"/>
        <v>0</v>
      </c>
      <c r="I230" s="17"/>
      <c r="J230" s="17"/>
    </row>
    <row r="231" spans="1:10">
      <c r="A231" s="16"/>
      <c r="B231" s="17"/>
      <c r="C231" s="17"/>
      <c r="D231" s="18" t="str">
        <f>IFERROR(VLOOKUP(C231,MATERIALES!$A:$B,2,0),"")</f>
        <v/>
      </c>
      <c r="E231" s="17"/>
      <c r="F231" s="18" t="str">
        <f>IFERROR(VLOOKUP(C231,MATERIALES!$A:$F,6,0),"")</f>
        <v/>
      </c>
      <c r="G231" s="19">
        <f>IFERROR(VLOOKUP(C231,MATERIALES!$A:$I,9,0),0)</f>
        <v>0</v>
      </c>
      <c r="H231" s="20">
        <f t="shared" si="3"/>
        <v>0</v>
      </c>
      <c r="I231" s="17"/>
      <c r="J231" s="17"/>
    </row>
    <row r="232" spans="1:10">
      <c r="A232" s="16"/>
      <c r="B232" s="17"/>
      <c r="C232" s="17"/>
      <c r="D232" s="18" t="str">
        <f>IFERROR(VLOOKUP(C232,MATERIALES!$A:$B,2,0),"")</f>
        <v/>
      </c>
      <c r="E232" s="17"/>
      <c r="F232" s="18" t="str">
        <f>IFERROR(VLOOKUP(C232,MATERIALES!$A:$F,6,0),"")</f>
        <v/>
      </c>
      <c r="G232" s="19">
        <f>IFERROR(VLOOKUP(C232,MATERIALES!$A:$I,9,0),0)</f>
        <v>0</v>
      </c>
      <c r="H232" s="20">
        <f t="shared" si="3"/>
        <v>0</v>
      </c>
      <c r="I232" s="17"/>
      <c r="J232" s="17"/>
    </row>
    <row r="233" spans="1:10">
      <c r="A233" s="16"/>
      <c r="B233" s="17"/>
      <c r="C233" s="17"/>
      <c r="D233" s="18" t="str">
        <f>IFERROR(VLOOKUP(C233,MATERIALES!$A:$B,2,0),"")</f>
        <v/>
      </c>
      <c r="E233" s="17"/>
      <c r="F233" s="18" t="str">
        <f>IFERROR(VLOOKUP(C233,MATERIALES!$A:$F,6,0),"")</f>
        <v/>
      </c>
      <c r="G233" s="19">
        <f>IFERROR(VLOOKUP(C233,MATERIALES!$A:$I,9,0),0)</f>
        <v>0</v>
      </c>
      <c r="H233" s="20">
        <f t="shared" si="3"/>
        <v>0</v>
      </c>
      <c r="I233" s="17"/>
      <c r="J233" s="17"/>
    </row>
    <row r="234" spans="1:10">
      <c r="A234" s="16"/>
      <c r="B234" s="17"/>
      <c r="C234" s="17"/>
      <c r="D234" s="18" t="str">
        <f>IFERROR(VLOOKUP(C234,MATERIALES!$A:$B,2,0),"")</f>
        <v/>
      </c>
      <c r="E234" s="17"/>
      <c r="F234" s="18" t="str">
        <f>IFERROR(VLOOKUP(C234,MATERIALES!$A:$F,6,0),"")</f>
        <v/>
      </c>
      <c r="G234" s="19">
        <f>IFERROR(VLOOKUP(C234,MATERIALES!$A:$I,9,0),0)</f>
        <v>0</v>
      </c>
      <c r="H234" s="20">
        <f t="shared" si="3"/>
        <v>0</v>
      </c>
      <c r="I234" s="17"/>
      <c r="J234" s="17"/>
    </row>
    <row r="235" spans="1:10">
      <c r="A235" s="16"/>
      <c r="B235" s="17"/>
      <c r="C235" s="17"/>
      <c r="D235" s="18" t="str">
        <f>IFERROR(VLOOKUP(C235,MATERIALES!$A:$B,2,0),"")</f>
        <v/>
      </c>
      <c r="E235" s="17"/>
      <c r="F235" s="18" t="str">
        <f>IFERROR(VLOOKUP(C235,MATERIALES!$A:$F,6,0),"")</f>
        <v/>
      </c>
      <c r="G235" s="19">
        <f>IFERROR(VLOOKUP(C235,MATERIALES!$A:$I,9,0),0)</f>
        <v>0</v>
      </c>
      <c r="H235" s="20">
        <f t="shared" si="3"/>
        <v>0</v>
      </c>
      <c r="I235" s="17"/>
      <c r="J235" s="17"/>
    </row>
    <row r="236" spans="1:10">
      <c r="A236" s="16"/>
      <c r="B236" s="17"/>
      <c r="C236" s="17"/>
      <c r="D236" s="18" t="str">
        <f>IFERROR(VLOOKUP(C236,MATERIALES!$A:$B,2,0),"")</f>
        <v/>
      </c>
      <c r="E236" s="17"/>
      <c r="F236" s="18" t="str">
        <f>IFERROR(VLOOKUP(C236,MATERIALES!$A:$F,6,0),"")</f>
        <v/>
      </c>
      <c r="G236" s="19">
        <f>IFERROR(VLOOKUP(C236,MATERIALES!$A:$I,9,0),0)</f>
        <v>0</v>
      </c>
      <c r="H236" s="20">
        <f t="shared" si="3"/>
        <v>0</v>
      </c>
      <c r="I236" s="17"/>
      <c r="J236" s="17"/>
    </row>
    <row r="237" spans="1:10">
      <c r="A237" s="16"/>
      <c r="B237" s="17"/>
      <c r="C237" s="17"/>
      <c r="D237" s="18" t="str">
        <f>IFERROR(VLOOKUP(C237,MATERIALES!$A:$B,2,0),"")</f>
        <v/>
      </c>
      <c r="E237" s="17"/>
      <c r="F237" s="18" t="str">
        <f>IFERROR(VLOOKUP(C237,MATERIALES!$A:$F,6,0),"")</f>
        <v/>
      </c>
      <c r="G237" s="19">
        <f>IFERROR(VLOOKUP(C237,MATERIALES!$A:$I,9,0),0)</f>
        <v>0</v>
      </c>
      <c r="H237" s="20">
        <f t="shared" si="3"/>
        <v>0</v>
      </c>
      <c r="I237" s="17"/>
      <c r="J237" s="17"/>
    </row>
    <row r="238" spans="1:10">
      <c r="A238" s="16"/>
      <c r="B238" s="17"/>
      <c r="C238" s="17"/>
      <c r="D238" s="18" t="str">
        <f>IFERROR(VLOOKUP(C238,MATERIALES!$A:$B,2,0),"")</f>
        <v/>
      </c>
      <c r="E238" s="17"/>
      <c r="F238" s="18" t="str">
        <f>IFERROR(VLOOKUP(C238,MATERIALES!$A:$F,6,0),"")</f>
        <v/>
      </c>
      <c r="G238" s="19">
        <f>IFERROR(VLOOKUP(C238,MATERIALES!$A:$I,9,0),0)</f>
        <v>0</v>
      </c>
      <c r="H238" s="20">
        <f t="shared" si="3"/>
        <v>0</v>
      </c>
      <c r="I238" s="17"/>
      <c r="J238" s="17"/>
    </row>
    <row r="239" spans="1:10">
      <c r="A239" s="16"/>
      <c r="B239" s="17"/>
      <c r="C239" s="17"/>
      <c r="D239" s="18" t="str">
        <f>IFERROR(VLOOKUP(C239,MATERIALES!$A:$B,2,0),"")</f>
        <v/>
      </c>
      <c r="E239" s="17"/>
      <c r="F239" s="18" t="str">
        <f>IFERROR(VLOOKUP(C239,MATERIALES!$A:$F,6,0),"")</f>
        <v/>
      </c>
      <c r="G239" s="19">
        <f>IFERROR(VLOOKUP(C239,MATERIALES!$A:$I,9,0),0)</f>
        <v>0</v>
      </c>
      <c r="H239" s="20">
        <f t="shared" si="3"/>
        <v>0</v>
      </c>
      <c r="I239" s="17"/>
      <c r="J239" s="17"/>
    </row>
    <row r="240" spans="1:10">
      <c r="A240" s="16"/>
      <c r="B240" s="17"/>
      <c r="C240" s="17"/>
      <c r="D240" s="18" t="str">
        <f>IFERROR(VLOOKUP(C240,MATERIALES!$A:$B,2,0),"")</f>
        <v/>
      </c>
      <c r="E240" s="17"/>
      <c r="F240" s="18" t="str">
        <f>IFERROR(VLOOKUP(C240,MATERIALES!$A:$F,6,0),"")</f>
        <v/>
      </c>
      <c r="G240" s="19">
        <f>IFERROR(VLOOKUP(C240,MATERIALES!$A:$I,9,0),0)</f>
        <v>0</v>
      </c>
      <c r="H240" s="20">
        <f t="shared" si="3"/>
        <v>0</v>
      </c>
      <c r="I240" s="17"/>
      <c r="J240" s="17"/>
    </row>
    <row r="241" spans="1:10">
      <c r="A241" s="16"/>
      <c r="B241" s="17"/>
      <c r="C241" s="17"/>
      <c r="D241" s="18" t="str">
        <f>IFERROR(VLOOKUP(C241,MATERIALES!$A:$B,2,0),"")</f>
        <v/>
      </c>
      <c r="E241" s="17"/>
      <c r="F241" s="18" t="str">
        <f>IFERROR(VLOOKUP(C241,MATERIALES!$A:$F,6,0),"")</f>
        <v/>
      </c>
      <c r="G241" s="19">
        <f>IFERROR(VLOOKUP(C241,MATERIALES!$A:$I,9,0),0)</f>
        <v>0</v>
      </c>
      <c r="H241" s="20">
        <f t="shared" si="3"/>
        <v>0</v>
      </c>
      <c r="I241" s="17"/>
      <c r="J241" s="17"/>
    </row>
    <row r="242" spans="1:10">
      <c r="A242" s="16"/>
      <c r="B242" s="17"/>
      <c r="C242" s="17"/>
      <c r="D242" s="18" t="str">
        <f>IFERROR(VLOOKUP(C242,MATERIALES!$A:$B,2,0),"")</f>
        <v/>
      </c>
      <c r="E242" s="17"/>
      <c r="F242" s="18" t="str">
        <f>IFERROR(VLOOKUP(C242,MATERIALES!$A:$F,6,0),"")</f>
        <v/>
      </c>
      <c r="G242" s="19">
        <f>IFERROR(VLOOKUP(C242,MATERIALES!$A:$I,9,0),0)</f>
        <v>0</v>
      </c>
      <c r="H242" s="20">
        <f t="shared" si="3"/>
        <v>0</v>
      </c>
      <c r="I242" s="17"/>
      <c r="J242" s="17"/>
    </row>
    <row r="243" spans="1:10">
      <c r="A243" s="16"/>
      <c r="B243" s="17"/>
      <c r="C243" s="17"/>
      <c r="D243" s="18" t="str">
        <f>IFERROR(VLOOKUP(C243,MATERIALES!$A:$B,2,0),"")</f>
        <v/>
      </c>
      <c r="E243" s="17"/>
      <c r="F243" s="18" t="str">
        <f>IFERROR(VLOOKUP(C243,MATERIALES!$A:$F,6,0),"")</f>
        <v/>
      </c>
      <c r="G243" s="19">
        <f>IFERROR(VLOOKUP(C243,MATERIALES!$A:$I,9,0),0)</f>
        <v>0</v>
      </c>
      <c r="H243" s="20">
        <f t="shared" si="3"/>
        <v>0</v>
      </c>
      <c r="I243" s="17"/>
      <c r="J243" s="17"/>
    </row>
    <row r="244" spans="1:10">
      <c r="A244" s="16"/>
      <c r="B244" s="17"/>
      <c r="C244" s="17"/>
      <c r="D244" s="18" t="str">
        <f>IFERROR(VLOOKUP(C244,MATERIALES!$A:$B,2,0),"")</f>
        <v/>
      </c>
      <c r="E244" s="17"/>
      <c r="F244" s="18" t="str">
        <f>IFERROR(VLOOKUP(C244,MATERIALES!$A:$F,6,0),"")</f>
        <v/>
      </c>
      <c r="G244" s="19">
        <f>IFERROR(VLOOKUP(C244,MATERIALES!$A:$I,9,0),0)</f>
        <v>0</v>
      </c>
      <c r="H244" s="20">
        <f t="shared" si="3"/>
        <v>0</v>
      </c>
      <c r="I244" s="17"/>
      <c r="J244" s="17"/>
    </row>
    <row r="245" spans="1:10">
      <c r="A245" s="16"/>
      <c r="B245" s="17"/>
      <c r="C245" s="17"/>
      <c r="D245" s="18" t="str">
        <f>IFERROR(VLOOKUP(C245,MATERIALES!$A:$B,2,0),"")</f>
        <v/>
      </c>
      <c r="E245" s="17"/>
      <c r="F245" s="18" t="str">
        <f>IFERROR(VLOOKUP(C245,MATERIALES!$A:$F,6,0),"")</f>
        <v/>
      </c>
      <c r="G245" s="19">
        <f>IFERROR(VLOOKUP(C245,MATERIALES!$A:$I,9,0),0)</f>
        <v>0</v>
      </c>
      <c r="H245" s="20">
        <f t="shared" si="3"/>
        <v>0</v>
      </c>
      <c r="I245" s="17"/>
      <c r="J245" s="17"/>
    </row>
    <row r="246" spans="1:10">
      <c r="A246" s="16"/>
      <c r="B246" s="17"/>
      <c r="C246" s="17"/>
      <c r="D246" s="18" t="str">
        <f>IFERROR(VLOOKUP(C246,MATERIALES!$A:$B,2,0),"")</f>
        <v/>
      </c>
      <c r="E246" s="17"/>
      <c r="F246" s="18" t="str">
        <f>IFERROR(VLOOKUP(C246,MATERIALES!$A:$F,6,0),"")</f>
        <v/>
      </c>
      <c r="G246" s="19">
        <f>IFERROR(VLOOKUP(C246,MATERIALES!$A:$I,9,0),0)</f>
        <v>0</v>
      </c>
      <c r="H246" s="20">
        <f t="shared" si="3"/>
        <v>0</v>
      </c>
      <c r="I246" s="17"/>
      <c r="J246" s="17"/>
    </row>
    <row r="247" spans="1:10">
      <c r="A247" s="16"/>
      <c r="B247" s="17"/>
      <c r="C247" s="17"/>
      <c r="D247" s="18" t="str">
        <f>IFERROR(VLOOKUP(C247,MATERIALES!$A:$B,2,0),"")</f>
        <v/>
      </c>
      <c r="E247" s="17"/>
      <c r="F247" s="18" t="str">
        <f>IFERROR(VLOOKUP(C247,MATERIALES!$A:$F,6,0),"")</f>
        <v/>
      </c>
      <c r="G247" s="19">
        <f>IFERROR(VLOOKUP(C247,MATERIALES!$A:$I,9,0),0)</f>
        <v>0</v>
      </c>
      <c r="H247" s="20">
        <f t="shared" si="3"/>
        <v>0</v>
      </c>
      <c r="I247" s="17"/>
      <c r="J247" s="17"/>
    </row>
    <row r="248" spans="1:10">
      <c r="A248" s="16"/>
      <c r="B248" s="17"/>
      <c r="C248" s="17"/>
      <c r="D248" s="18" t="str">
        <f>IFERROR(VLOOKUP(C248,MATERIALES!$A:$B,2,0),"")</f>
        <v/>
      </c>
      <c r="E248" s="17"/>
      <c r="F248" s="18" t="str">
        <f>IFERROR(VLOOKUP(C248,MATERIALES!$A:$F,6,0),"")</f>
        <v/>
      </c>
      <c r="G248" s="19">
        <f>IFERROR(VLOOKUP(C248,MATERIALES!$A:$I,9,0),0)</f>
        <v>0</v>
      </c>
      <c r="H248" s="20">
        <f t="shared" si="3"/>
        <v>0</v>
      </c>
      <c r="I248" s="17"/>
      <c r="J248" s="17"/>
    </row>
    <row r="249" spans="1:10">
      <c r="A249" s="16"/>
      <c r="B249" s="17"/>
      <c r="C249" s="17"/>
      <c r="D249" s="18" t="str">
        <f>IFERROR(VLOOKUP(C249,MATERIALES!$A:$B,2,0),"")</f>
        <v/>
      </c>
      <c r="E249" s="17"/>
      <c r="F249" s="18" t="str">
        <f>IFERROR(VLOOKUP(C249,MATERIALES!$A:$F,6,0),"")</f>
        <v/>
      </c>
      <c r="G249" s="19">
        <f>IFERROR(VLOOKUP(C249,MATERIALES!$A:$I,9,0),0)</f>
        <v>0</v>
      </c>
      <c r="H249" s="20">
        <f t="shared" si="3"/>
        <v>0</v>
      </c>
      <c r="I249" s="17"/>
      <c r="J249" s="17"/>
    </row>
    <row r="250" spans="1:10">
      <c r="A250" s="16"/>
      <c r="B250" s="17"/>
      <c r="C250" s="17"/>
      <c r="D250" s="18" t="str">
        <f>IFERROR(VLOOKUP(C250,MATERIALES!$A:$B,2,0),"")</f>
        <v/>
      </c>
      <c r="E250" s="17"/>
      <c r="F250" s="18" t="str">
        <f>IFERROR(VLOOKUP(C250,MATERIALES!$A:$F,6,0),"")</f>
        <v/>
      </c>
      <c r="G250" s="19">
        <f>IFERROR(VLOOKUP(C250,MATERIALES!$A:$I,9,0),0)</f>
        <v>0</v>
      </c>
      <c r="H250" s="20">
        <f t="shared" si="3"/>
        <v>0</v>
      </c>
      <c r="I250" s="17"/>
      <c r="J250" s="17"/>
    </row>
    <row r="251" spans="1:10">
      <c r="A251" s="16"/>
      <c r="B251" s="17"/>
      <c r="C251" s="17"/>
      <c r="D251" s="18" t="str">
        <f>IFERROR(VLOOKUP(C251,MATERIALES!$A:$B,2,0),"")</f>
        <v/>
      </c>
      <c r="E251" s="17"/>
      <c r="F251" s="18" t="str">
        <f>IFERROR(VLOOKUP(C251,MATERIALES!$A:$F,6,0),"")</f>
        <v/>
      </c>
      <c r="G251" s="19">
        <f>IFERROR(VLOOKUP(C251,MATERIALES!$A:$I,9,0),0)</f>
        <v>0</v>
      </c>
      <c r="H251" s="20">
        <f t="shared" si="3"/>
        <v>0</v>
      </c>
      <c r="I251" s="17"/>
      <c r="J251" s="17"/>
    </row>
    <row r="252" spans="1:10">
      <c r="A252" s="16"/>
      <c r="B252" s="17"/>
      <c r="C252" s="17"/>
      <c r="D252" s="18" t="str">
        <f>IFERROR(VLOOKUP(C252,MATERIALES!$A:$B,2,0),"")</f>
        <v/>
      </c>
      <c r="E252" s="17"/>
      <c r="F252" s="18" t="str">
        <f>IFERROR(VLOOKUP(C252,MATERIALES!$A:$F,6,0),"")</f>
        <v/>
      </c>
      <c r="G252" s="19">
        <f>IFERROR(VLOOKUP(C252,MATERIALES!$A:$I,9,0),0)</f>
        <v>0</v>
      </c>
      <c r="H252" s="20">
        <f t="shared" si="3"/>
        <v>0</v>
      </c>
      <c r="I252" s="17"/>
      <c r="J252" s="17"/>
    </row>
    <row r="253" spans="1:10">
      <c r="A253" s="16"/>
      <c r="B253" s="17"/>
      <c r="C253" s="17"/>
      <c r="D253" s="18" t="str">
        <f>IFERROR(VLOOKUP(C253,MATERIALES!$A:$B,2,0),"")</f>
        <v/>
      </c>
      <c r="E253" s="17"/>
      <c r="F253" s="18" t="str">
        <f>IFERROR(VLOOKUP(C253,MATERIALES!$A:$F,6,0),"")</f>
        <v/>
      </c>
      <c r="G253" s="19">
        <f>IFERROR(VLOOKUP(C253,MATERIALES!$A:$I,9,0),0)</f>
        <v>0</v>
      </c>
      <c r="H253" s="20">
        <f t="shared" si="3"/>
        <v>0</v>
      </c>
      <c r="I253" s="17"/>
      <c r="J253" s="17"/>
    </row>
    <row r="254" spans="1:10">
      <c r="A254" s="16"/>
      <c r="B254" s="17"/>
      <c r="C254" s="17"/>
      <c r="D254" s="18" t="str">
        <f>IFERROR(VLOOKUP(C254,MATERIALES!$A:$B,2,0),"")</f>
        <v/>
      </c>
      <c r="E254" s="17"/>
      <c r="F254" s="18" t="str">
        <f>IFERROR(VLOOKUP(C254,MATERIALES!$A:$F,6,0),"")</f>
        <v/>
      </c>
      <c r="G254" s="19">
        <f>IFERROR(VLOOKUP(C254,MATERIALES!$A:$I,9,0),0)</f>
        <v>0</v>
      </c>
      <c r="H254" s="20">
        <f t="shared" si="3"/>
        <v>0</v>
      </c>
      <c r="I254" s="17"/>
      <c r="J254" s="17"/>
    </row>
    <row r="255" spans="1:10">
      <c r="A255" s="16"/>
      <c r="B255" s="17"/>
      <c r="C255" s="17"/>
      <c r="D255" s="18" t="str">
        <f>IFERROR(VLOOKUP(C255,MATERIALES!$A:$B,2,0),"")</f>
        <v/>
      </c>
      <c r="E255" s="17"/>
      <c r="F255" s="18" t="str">
        <f>IFERROR(VLOOKUP(C255,MATERIALES!$A:$F,6,0),"")</f>
        <v/>
      </c>
      <c r="G255" s="19">
        <f>IFERROR(VLOOKUP(C255,MATERIALES!$A:$I,9,0),0)</f>
        <v>0</v>
      </c>
      <c r="H255" s="20">
        <f t="shared" si="3"/>
        <v>0</v>
      </c>
      <c r="I255" s="17"/>
      <c r="J255" s="17"/>
    </row>
    <row r="256" spans="1:10">
      <c r="A256" s="16"/>
      <c r="B256" s="17"/>
      <c r="C256" s="17"/>
      <c r="D256" s="18" t="str">
        <f>IFERROR(VLOOKUP(C256,MATERIALES!$A:$B,2,0),"")</f>
        <v/>
      </c>
      <c r="E256" s="17"/>
      <c r="F256" s="18" t="str">
        <f>IFERROR(VLOOKUP(C256,MATERIALES!$A:$F,6,0),"")</f>
        <v/>
      </c>
      <c r="G256" s="19">
        <f>IFERROR(VLOOKUP(C256,MATERIALES!$A:$I,9,0),0)</f>
        <v>0</v>
      </c>
      <c r="H256" s="20">
        <f t="shared" si="3"/>
        <v>0</v>
      </c>
      <c r="I256" s="17"/>
      <c r="J256" s="17"/>
    </row>
    <row r="257" spans="1:10">
      <c r="A257" s="16"/>
      <c r="B257" s="17"/>
      <c r="C257" s="17"/>
      <c r="D257" s="18" t="str">
        <f>IFERROR(VLOOKUP(C257,MATERIALES!$A:$B,2,0),"")</f>
        <v/>
      </c>
      <c r="E257" s="17"/>
      <c r="F257" s="18" t="str">
        <f>IFERROR(VLOOKUP(C257,MATERIALES!$A:$F,6,0),"")</f>
        <v/>
      </c>
      <c r="G257" s="19">
        <f>IFERROR(VLOOKUP(C257,MATERIALES!$A:$I,9,0),0)</f>
        <v>0</v>
      </c>
      <c r="H257" s="20">
        <f t="shared" si="3"/>
        <v>0</v>
      </c>
      <c r="I257" s="17"/>
      <c r="J257" s="17"/>
    </row>
    <row r="258" spans="1:10">
      <c r="A258" s="16"/>
      <c r="B258" s="17"/>
      <c r="C258" s="17"/>
      <c r="D258" s="18" t="str">
        <f>IFERROR(VLOOKUP(C258,MATERIALES!$A:$B,2,0),"")</f>
        <v/>
      </c>
      <c r="E258" s="17"/>
      <c r="F258" s="18" t="str">
        <f>IFERROR(VLOOKUP(C258,MATERIALES!$A:$F,6,0),"")</f>
        <v/>
      </c>
      <c r="G258" s="19">
        <f>IFERROR(VLOOKUP(C258,MATERIALES!$A:$I,9,0),0)</f>
        <v>0</v>
      </c>
      <c r="H258" s="20">
        <f t="shared" si="3"/>
        <v>0</v>
      </c>
      <c r="I258" s="17"/>
      <c r="J258" s="17"/>
    </row>
    <row r="259" spans="1:10">
      <c r="A259" s="16"/>
      <c r="B259" s="17"/>
      <c r="C259" s="17"/>
      <c r="D259" s="18" t="str">
        <f>IFERROR(VLOOKUP(C259,MATERIALES!$A:$B,2,0),"")</f>
        <v/>
      </c>
      <c r="E259" s="17"/>
      <c r="F259" s="18" t="str">
        <f>IFERROR(VLOOKUP(C259,MATERIALES!$A:$F,6,0),"")</f>
        <v/>
      </c>
      <c r="G259" s="19">
        <f>IFERROR(VLOOKUP(C259,MATERIALES!$A:$I,9,0),0)</f>
        <v>0</v>
      </c>
      <c r="H259" s="20">
        <f t="shared" si="3"/>
        <v>0</v>
      </c>
      <c r="I259" s="17"/>
      <c r="J259" s="17"/>
    </row>
    <row r="260" spans="1:10">
      <c r="A260" s="16"/>
      <c r="B260" s="17"/>
      <c r="C260" s="17"/>
      <c r="D260" s="18" t="str">
        <f>IFERROR(VLOOKUP(C260,MATERIALES!$A:$B,2,0),"")</f>
        <v/>
      </c>
      <c r="E260" s="17"/>
      <c r="F260" s="18" t="str">
        <f>IFERROR(VLOOKUP(C260,MATERIALES!$A:$F,6,0),"")</f>
        <v/>
      </c>
      <c r="G260" s="19">
        <f>IFERROR(VLOOKUP(C260,MATERIALES!$A:$I,9,0),0)</f>
        <v>0</v>
      </c>
      <c r="H260" s="20">
        <f t="shared" si="3"/>
        <v>0</v>
      </c>
      <c r="I260" s="17"/>
      <c r="J260" s="17"/>
    </row>
    <row r="261" spans="1:10">
      <c r="A261" s="16"/>
      <c r="B261" s="17"/>
      <c r="C261" s="17"/>
      <c r="D261" s="18" t="str">
        <f>IFERROR(VLOOKUP(C261,MATERIALES!$A:$B,2,0),"")</f>
        <v/>
      </c>
      <c r="E261" s="17"/>
      <c r="F261" s="18" t="str">
        <f>IFERROR(VLOOKUP(C261,MATERIALES!$A:$F,6,0),"")</f>
        <v/>
      </c>
      <c r="G261" s="19">
        <f>IFERROR(VLOOKUP(C261,MATERIALES!$A:$I,9,0),0)</f>
        <v>0</v>
      </c>
      <c r="H261" s="20">
        <f t="shared" ref="H261:H300" si="4">IFERROR(E261*G261,0)</f>
        <v>0</v>
      </c>
      <c r="I261" s="17"/>
      <c r="J261" s="17"/>
    </row>
    <row r="262" spans="1:10">
      <c r="A262" s="16"/>
      <c r="B262" s="17"/>
      <c r="C262" s="17"/>
      <c r="D262" s="18" t="str">
        <f>IFERROR(VLOOKUP(C262,MATERIALES!$A:$B,2,0),"")</f>
        <v/>
      </c>
      <c r="E262" s="17"/>
      <c r="F262" s="18" t="str">
        <f>IFERROR(VLOOKUP(C262,MATERIALES!$A:$F,6,0),"")</f>
        <v/>
      </c>
      <c r="G262" s="19">
        <f>IFERROR(VLOOKUP(C262,MATERIALES!$A:$I,9,0),0)</f>
        <v>0</v>
      </c>
      <c r="H262" s="20">
        <f t="shared" si="4"/>
        <v>0</v>
      </c>
      <c r="I262" s="17"/>
      <c r="J262" s="17"/>
    </row>
    <row r="263" spans="1:10">
      <c r="A263" s="16"/>
      <c r="B263" s="17"/>
      <c r="C263" s="17"/>
      <c r="D263" s="18" t="str">
        <f>IFERROR(VLOOKUP(C263,MATERIALES!$A:$B,2,0),"")</f>
        <v/>
      </c>
      <c r="E263" s="17"/>
      <c r="F263" s="18" t="str">
        <f>IFERROR(VLOOKUP(C263,MATERIALES!$A:$F,6,0),"")</f>
        <v/>
      </c>
      <c r="G263" s="19">
        <f>IFERROR(VLOOKUP(C263,MATERIALES!$A:$I,9,0),0)</f>
        <v>0</v>
      </c>
      <c r="H263" s="20">
        <f t="shared" si="4"/>
        <v>0</v>
      </c>
      <c r="I263" s="17"/>
      <c r="J263" s="17"/>
    </row>
    <row r="264" spans="1:10">
      <c r="A264" s="16"/>
      <c r="B264" s="17"/>
      <c r="C264" s="17"/>
      <c r="D264" s="18" t="str">
        <f>IFERROR(VLOOKUP(C264,MATERIALES!$A:$B,2,0),"")</f>
        <v/>
      </c>
      <c r="E264" s="17"/>
      <c r="F264" s="18" t="str">
        <f>IFERROR(VLOOKUP(C264,MATERIALES!$A:$F,6,0),"")</f>
        <v/>
      </c>
      <c r="G264" s="19">
        <f>IFERROR(VLOOKUP(C264,MATERIALES!$A:$I,9,0),0)</f>
        <v>0</v>
      </c>
      <c r="H264" s="20">
        <f t="shared" si="4"/>
        <v>0</v>
      </c>
      <c r="I264" s="17"/>
      <c r="J264" s="17"/>
    </row>
    <row r="265" spans="1:10">
      <c r="A265" s="16"/>
      <c r="B265" s="17"/>
      <c r="C265" s="17"/>
      <c r="D265" s="18" t="str">
        <f>IFERROR(VLOOKUP(C265,MATERIALES!$A:$B,2,0),"")</f>
        <v/>
      </c>
      <c r="E265" s="17"/>
      <c r="F265" s="18" t="str">
        <f>IFERROR(VLOOKUP(C265,MATERIALES!$A:$F,6,0),"")</f>
        <v/>
      </c>
      <c r="G265" s="19">
        <f>IFERROR(VLOOKUP(C265,MATERIALES!$A:$I,9,0),0)</f>
        <v>0</v>
      </c>
      <c r="H265" s="20">
        <f t="shared" si="4"/>
        <v>0</v>
      </c>
      <c r="I265" s="17"/>
      <c r="J265" s="17"/>
    </row>
    <row r="266" spans="1:10">
      <c r="A266" s="16"/>
      <c r="B266" s="17"/>
      <c r="C266" s="17"/>
      <c r="D266" s="18" t="str">
        <f>IFERROR(VLOOKUP(C266,MATERIALES!$A:$B,2,0),"")</f>
        <v/>
      </c>
      <c r="E266" s="17"/>
      <c r="F266" s="18" t="str">
        <f>IFERROR(VLOOKUP(C266,MATERIALES!$A:$F,6,0),"")</f>
        <v/>
      </c>
      <c r="G266" s="19">
        <f>IFERROR(VLOOKUP(C266,MATERIALES!$A:$I,9,0),0)</f>
        <v>0</v>
      </c>
      <c r="H266" s="20">
        <f t="shared" si="4"/>
        <v>0</v>
      </c>
      <c r="I266" s="17"/>
      <c r="J266" s="17"/>
    </row>
    <row r="267" spans="1:10">
      <c r="A267" s="16"/>
      <c r="B267" s="17"/>
      <c r="C267" s="17"/>
      <c r="D267" s="18" t="str">
        <f>IFERROR(VLOOKUP(C267,MATERIALES!$A:$B,2,0),"")</f>
        <v/>
      </c>
      <c r="E267" s="17"/>
      <c r="F267" s="18" t="str">
        <f>IFERROR(VLOOKUP(C267,MATERIALES!$A:$F,6,0),"")</f>
        <v/>
      </c>
      <c r="G267" s="19">
        <f>IFERROR(VLOOKUP(C267,MATERIALES!$A:$I,9,0),0)</f>
        <v>0</v>
      </c>
      <c r="H267" s="20">
        <f t="shared" si="4"/>
        <v>0</v>
      </c>
      <c r="I267" s="17"/>
      <c r="J267" s="17"/>
    </row>
    <row r="268" spans="1:10">
      <c r="A268" s="16"/>
      <c r="B268" s="17"/>
      <c r="C268" s="17"/>
      <c r="D268" s="18" t="str">
        <f>IFERROR(VLOOKUP(C268,MATERIALES!$A:$B,2,0),"")</f>
        <v/>
      </c>
      <c r="E268" s="17"/>
      <c r="F268" s="18" t="str">
        <f>IFERROR(VLOOKUP(C268,MATERIALES!$A:$F,6,0),"")</f>
        <v/>
      </c>
      <c r="G268" s="19">
        <f>IFERROR(VLOOKUP(C268,MATERIALES!$A:$I,9,0),0)</f>
        <v>0</v>
      </c>
      <c r="H268" s="20">
        <f t="shared" si="4"/>
        <v>0</v>
      </c>
      <c r="I268" s="17"/>
      <c r="J268" s="17"/>
    </row>
    <row r="269" spans="1:10">
      <c r="A269" s="16"/>
      <c r="B269" s="17"/>
      <c r="C269" s="17"/>
      <c r="D269" s="18" t="str">
        <f>IFERROR(VLOOKUP(C269,MATERIALES!$A:$B,2,0),"")</f>
        <v/>
      </c>
      <c r="E269" s="17"/>
      <c r="F269" s="18" t="str">
        <f>IFERROR(VLOOKUP(C269,MATERIALES!$A:$F,6,0),"")</f>
        <v/>
      </c>
      <c r="G269" s="19">
        <f>IFERROR(VLOOKUP(C269,MATERIALES!$A:$I,9,0),0)</f>
        <v>0</v>
      </c>
      <c r="H269" s="20">
        <f t="shared" si="4"/>
        <v>0</v>
      </c>
      <c r="I269" s="17"/>
      <c r="J269" s="17"/>
    </row>
    <row r="270" spans="1:10">
      <c r="A270" s="16"/>
      <c r="B270" s="17"/>
      <c r="C270" s="17"/>
      <c r="D270" s="18" t="str">
        <f>IFERROR(VLOOKUP(C270,MATERIALES!$A:$B,2,0),"")</f>
        <v/>
      </c>
      <c r="E270" s="17"/>
      <c r="F270" s="18" t="str">
        <f>IFERROR(VLOOKUP(C270,MATERIALES!$A:$F,6,0),"")</f>
        <v/>
      </c>
      <c r="G270" s="19">
        <f>IFERROR(VLOOKUP(C270,MATERIALES!$A:$I,9,0),0)</f>
        <v>0</v>
      </c>
      <c r="H270" s="20">
        <f t="shared" si="4"/>
        <v>0</v>
      </c>
      <c r="I270" s="17"/>
      <c r="J270" s="17"/>
    </row>
    <row r="271" spans="1:10">
      <c r="A271" s="16"/>
      <c r="B271" s="17"/>
      <c r="C271" s="17"/>
      <c r="D271" s="18" t="str">
        <f>IFERROR(VLOOKUP(C271,MATERIALES!$A:$B,2,0),"")</f>
        <v/>
      </c>
      <c r="E271" s="17"/>
      <c r="F271" s="18" t="str">
        <f>IFERROR(VLOOKUP(C271,MATERIALES!$A:$F,6,0),"")</f>
        <v/>
      </c>
      <c r="G271" s="19">
        <f>IFERROR(VLOOKUP(C271,MATERIALES!$A:$I,9,0),0)</f>
        <v>0</v>
      </c>
      <c r="H271" s="20">
        <f t="shared" si="4"/>
        <v>0</v>
      </c>
      <c r="I271" s="17"/>
      <c r="J271" s="17"/>
    </row>
    <row r="272" spans="1:10">
      <c r="A272" s="16"/>
      <c r="B272" s="17"/>
      <c r="C272" s="17"/>
      <c r="D272" s="18" t="str">
        <f>IFERROR(VLOOKUP(C272,MATERIALES!$A:$B,2,0),"")</f>
        <v/>
      </c>
      <c r="E272" s="17"/>
      <c r="F272" s="18" t="str">
        <f>IFERROR(VLOOKUP(C272,MATERIALES!$A:$F,6,0),"")</f>
        <v/>
      </c>
      <c r="G272" s="19">
        <f>IFERROR(VLOOKUP(C272,MATERIALES!$A:$I,9,0),0)</f>
        <v>0</v>
      </c>
      <c r="H272" s="20">
        <f t="shared" si="4"/>
        <v>0</v>
      </c>
      <c r="I272" s="17"/>
      <c r="J272" s="17"/>
    </row>
    <row r="273" spans="1:10">
      <c r="A273" s="16"/>
      <c r="B273" s="17"/>
      <c r="C273" s="17"/>
      <c r="D273" s="18" t="str">
        <f>IFERROR(VLOOKUP(C273,MATERIALES!$A:$B,2,0),"")</f>
        <v/>
      </c>
      <c r="E273" s="17"/>
      <c r="F273" s="18" t="str">
        <f>IFERROR(VLOOKUP(C273,MATERIALES!$A:$F,6,0),"")</f>
        <v/>
      </c>
      <c r="G273" s="19">
        <f>IFERROR(VLOOKUP(C273,MATERIALES!$A:$I,9,0),0)</f>
        <v>0</v>
      </c>
      <c r="H273" s="20">
        <f t="shared" si="4"/>
        <v>0</v>
      </c>
      <c r="I273" s="17"/>
      <c r="J273" s="17"/>
    </row>
    <row r="274" spans="1:10">
      <c r="A274" s="16"/>
      <c r="B274" s="17"/>
      <c r="C274" s="17"/>
      <c r="D274" s="18" t="str">
        <f>IFERROR(VLOOKUP(C274,MATERIALES!$A:$B,2,0),"")</f>
        <v/>
      </c>
      <c r="E274" s="17"/>
      <c r="F274" s="18" t="str">
        <f>IFERROR(VLOOKUP(C274,MATERIALES!$A:$F,6,0),"")</f>
        <v/>
      </c>
      <c r="G274" s="19">
        <f>IFERROR(VLOOKUP(C274,MATERIALES!$A:$I,9,0),0)</f>
        <v>0</v>
      </c>
      <c r="H274" s="20">
        <f t="shared" si="4"/>
        <v>0</v>
      </c>
      <c r="I274" s="17"/>
      <c r="J274" s="17"/>
    </row>
    <row r="275" spans="1:10">
      <c r="A275" s="16"/>
      <c r="B275" s="17"/>
      <c r="C275" s="17"/>
      <c r="D275" s="18" t="str">
        <f>IFERROR(VLOOKUP(C275,MATERIALES!$A:$B,2,0),"")</f>
        <v/>
      </c>
      <c r="E275" s="17"/>
      <c r="F275" s="18" t="str">
        <f>IFERROR(VLOOKUP(C275,MATERIALES!$A:$F,6,0),"")</f>
        <v/>
      </c>
      <c r="G275" s="19">
        <f>IFERROR(VLOOKUP(C275,MATERIALES!$A:$I,9,0),0)</f>
        <v>0</v>
      </c>
      <c r="H275" s="20">
        <f t="shared" si="4"/>
        <v>0</v>
      </c>
      <c r="I275" s="17"/>
      <c r="J275" s="17"/>
    </row>
    <row r="276" spans="1:10">
      <c r="A276" s="16"/>
      <c r="B276" s="17"/>
      <c r="C276" s="17"/>
      <c r="D276" s="18" t="str">
        <f>IFERROR(VLOOKUP(C276,MATERIALES!$A:$B,2,0),"")</f>
        <v/>
      </c>
      <c r="E276" s="17"/>
      <c r="F276" s="18" t="str">
        <f>IFERROR(VLOOKUP(C276,MATERIALES!$A:$F,6,0),"")</f>
        <v/>
      </c>
      <c r="G276" s="19">
        <f>IFERROR(VLOOKUP(C276,MATERIALES!$A:$I,9,0),0)</f>
        <v>0</v>
      </c>
      <c r="H276" s="20">
        <f t="shared" si="4"/>
        <v>0</v>
      </c>
      <c r="I276" s="17"/>
      <c r="J276" s="17"/>
    </row>
    <row r="277" spans="1:10">
      <c r="A277" s="16"/>
      <c r="B277" s="17"/>
      <c r="C277" s="17"/>
      <c r="D277" s="18" t="str">
        <f>IFERROR(VLOOKUP(C277,MATERIALES!$A:$B,2,0),"")</f>
        <v/>
      </c>
      <c r="E277" s="17"/>
      <c r="F277" s="18" t="str">
        <f>IFERROR(VLOOKUP(C277,MATERIALES!$A:$F,6,0),"")</f>
        <v/>
      </c>
      <c r="G277" s="19">
        <f>IFERROR(VLOOKUP(C277,MATERIALES!$A:$I,9,0),0)</f>
        <v>0</v>
      </c>
      <c r="H277" s="20">
        <f t="shared" si="4"/>
        <v>0</v>
      </c>
      <c r="I277" s="17"/>
      <c r="J277" s="17"/>
    </row>
    <row r="278" spans="1:10">
      <c r="A278" s="16"/>
      <c r="B278" s="17"/>
      <c r="C278" s="17"/>
      <c r="D278" s="18" t="str">
        <f>IFERROR(VLOOKUP(C278,MATERIALES!$A:$B,2,0),"")</f>
        <v/>
      </c>
      <c r="E278" s="17"/>
      <c r="F278" s="18" t="str">
        <f>IFERROR(VLOOKUP(C278,MATERIALES!$A:$F,6,0),"")</f>
        <v/>
      </c>
      <c r="G278" s="19">
        <f>IFERROR(VLOOKUP(C278,MATERIALES!$A:$I,9,0),0)</f>
        <v>0</v>
      </c>
      <c r="H278" s="20">
        <f t="shared" si="4"/>
        <v>0</v>
      </c>
      <c r="I278" s="17"/>
      <c r="J278" s="17"/>
    </row>
    <row r="279" spans="1:10">
      <c r="A279" s="16"/>
      <c r="B279" s="17"/>
      <c r="C279" s="17"/>
      <c r="D279" s="18" t="str">
        <f>IFERROR(VLOOKUP(C279,MATERIALES!$A:$B,2,0),"")</f>
        <v/>
      </c>
      <c r="E279" s="17"/>
      <c r="F279" s="18" t="str">
        <f>IFERROR(VLOOKUP(C279,MATERIALES!$A:$F,6,0),"")</f>
        <v/>
      </c>
      <c r="G279" s="19">
        <f>IFERROR(VLOOKUP(C279,MATERIALES!$A:$I,9,0),0)</f>
        <v>0</v>
      </c>
      <c r="H279" s="20">
        <f t="shared" si="4"/>
        <v>0</v>
      </c>
      <c r="I279" s="17"/>
      <c r="J279" s="17"/>
    </row>
    <row r="280" spans="1:10">
      <c r="A280" s="16"/>
      <c r="B280" s="17"/>
      <c r="C280" s="17"/>
      <c r="D280" s="18" t="str">
        <f>IFERROR(VLOOKUP(C280,MATERIALES!$A:$B,2,0),"")</f>
        <v/>
      </c>
      <c r="E280" s="17"/>
      <c r="F280" s="18" t="str">
        <f>IFERROR(VLOOKUP(C280,MATERIALES!$A:$F,6,0),"")</f>
        <v/>
      </c>
      <c r="G280" s="19">
        <f>IFERROR(VLOOKUP(C280,MATERIALES!$A:$I,9,0),0)</f>
        <v>0</v>
      </c>
      <c r="H280" s="20">
        <f t="shared" si="4"/>
        <v>0</v>
      </c>
      <c r="I280" s="17"/>
      <c r="J280" s="17"/>
    </row>
    <row r="281" spans="1:10">
      <c r="A281" s="16"/>
      <c r="B281" s="17"/>
      <c r="C281" s="17"/>
      <c r="D281" s="18" t="str">
        <f>IFERROR(VLOOKUP(C281,MATERIALES!$A:$B,2,0),"")</f>
        <v/>
      </c>
      <c r="E281" s="17"/>
      <c r="F281" s="18" t="str">
        <f>IFERROR(VLOOKUP(C281,MATERIALES!$A:$F,6,0),"")</f>
        <v/>
      </c>
      <c r="G281" s="19">
        <f>IFERROR(VLOOKUP(C281,MATERIALES!$A:$I,9,0),0)</f>
        <v>0</v>
      </c>
      <c r="H281" s="20">
        <f t="shared" si="4"/>
        <v>0</v>
      </c>
      <c r="I281" s="17"/>
      <c r="J281" s="17"/>
    </row>
    <row r="282" spans="1:10">
      <c r="A282" s="16"/>
      <c r="B282" s="17"/>
      <c r="C282" s="17"/>
      <c r="D282" s="18" t="str">
        <f>IFERROR(VLOOKUP(C282,MATERIALES!$A:$B,2,0),"")</f>
        <v/>
      </c>
      <c r="E282" s="17"/>
      <c r="F282" s="18" t="str">
        <f>IFERROR(VLOOKUP(C282,MATERIALES!$A:$F,6,0),"")</f>
        <v/>
      </c>
      <c r="G282" s="19">
        <f>IFERROR(VLOOKUP(C282,MATERIALES!$A:$I,9,0),0)</f>
        <v>0</v>
      </c>
      <c r="H282" s="20">
        <f t="shared" si="4"/>
        <v>0</v>
      </c>
      <c r="I282" s="17"/>
      <c r="J282" s="17"/>
    </row>
    <row r="283" spans="1:10">
      <c r="A283" s="16"/>
      <c r="B283" s="17"/>
      <c r="C283" s="17"/>
      <c r="D283" s="18" t="str">
        <f>IFERROR(VLOOKUP(C283,MATERIALES!$A:$B,2,0),"")</f>
        <v/>
      </c>
      <c r="E283" s="17"/>
      <c r="F283" s="18" t="str">
        <f>IFERROR(VLOOKUP(C283,MATERIALES!$A:$F,6,0),"")</f>
        <v/>
      </c>
      <c r="G283" s="19">
        <f>IFERROR(VLOOKUP(C283,MATERIALES!$A:$I,9,0),0)</f>
        <v>0</v>
      </c>
      <c r="H283" s="20">
        <f t="shared" si="4"/>
        <v>0</v>
      </c>
      <c r="I283" s="17"/>
      <c r="J283" s="17"/>
    </row>
    <row r="284" spans="1:10">
      <c r="A284" s="16"/>
      <c r="B284" s="17"/>
      <c r="C284" s="17"/>
      <c r="D284" s="18" t="str">
        <f>IFERROR(VLOOKUP(C284,MATERIALES!$A:$B,2,0),"")</f>
        <v/>
      </c>
      <c r="E284" s="17"/>
      <c r="F284" s="18" t="str">
        <f>IFERROR(VLOOKUP(C284,MATERIALES!$A:$F,6,0),"")</f>
        <v/>
      </c>
      <c r="G284" s="19">
        <f>IFERROR(VLOOKUP(C284,MATERIALES!$A:$I,9,0),0)</f>
        <v>0</v>
      </c>
      <c r="H284" s="20">
        <f t="shared" si="4"/>
        <v>0</v>
      </c>
      <c r="I284" s="17"/>
      <c r="J284" s="17"/>
    </row>
    <row r="285" spans="1:10">
      <c r="A285" s="16"/>
      <c r="B285" s="17"/>
      <c r="C285" s="17"/>
      <c r="D285" s="18" t="str">
        <f>IFERROR(VLOOKUP(C285,MATERIALES!$A:$B,2,0),"")</f>
        <v/>
      </c>
      <c r="E285" s="17"/>
      <c r="F285" s="18" t="str">
        <f>IFERROR(VLOOKUP(C285,MATERIALES!$A:$F,6,0),"")</f>
        <v/>
      </c>
      <c r="G285" s="19">
        <f>IFERROR(VLOOKUP(C285,MATERIALES!$A:$I,9,0),0)</f>
        <v>0</v>
      </c>
      <c r="H285" s="20">
        <f t="shared" si="4"/>
        <v>0</v>
      </c>
      <c r="I285" s="17"/>
      <c r="J285" s="17"/>
    </row>
    <row r="286" spans="1:10">
      <c r="A286" s="16"/>
      <c r="B286" s="17"/>
      <c r="C286" s="17"/>
      <c r="D286" s="18" t="str">
        <f>IFERROR(VLOOKUP(C286,MATERIALES!$A:$B,2,0),"")</f>
        <v/>
      </c>
      <c r="E286" s="17"/>
      <c r="F286" s="18" t="str">
        <f>IFERROR(VLOOKUP(C286,MATERIALES!$A:$F,6,0),"")</f>
        <v/>
      </c>
      <c r="G286" s="19">
        <f>IFERROR(VLOOKUP(C286,MATERIALES!$A:$I,9,0),0)</f>
        <v>0</v>
      </c>
      <c r="H286" s="20">
        <f t="shared" si="4"/>
        <v>0</v>
      </c>
      <c r="I286" s="17"/>
      <c r="J286" s="17"/>
    </row>
    <row r="287" spans="1:10">
      <c r="A287" s="16"/>
      <c r="B287" s="17"/>
      <c r="C287" s="17"/>
      <c r="D287" s="18" t="str">
        <f>IFERROR(VLOOKUP(C287,MATERIALES!$A:$B,2,0),"")</f>
        <v/>
      </c>
      <c r="E287" s="17"/>
      <c r="F287" s="18" t="str">
        <f>IFERROR(VLOOKUP(C287,MATERIALES!$A:$F,6,0),"")</f>
        <v/>
      </c>
      <c r="G287" s="19">
        <f>IFERROR(VLOOKUP(C287,MATERIALES!$A:$I,9,0),0)</f>
        <v>0</v>
      </c>
      <c r="H287" s="20">
        <f t="shared" si="4"/>
        <v>0</v>
      </c>
      <c r="I287" s="17"/>
      <c r="J287" s="17"/>
    </row>
    <row r="288" spans="1:10">
      <c r="A288" s="16"/>
      <c r="B288" s="17"/>
      <c r="C288" s="17"/>
      <c r="D288" s="18" t="str">
        <f>IFERROR(VLOOKUP(C288,MATERIALES!$A:$B,2,0),"")</f>
        <v/>
      </c>
      <c r="E288" s="17"/>
      <c r="F288" s="18" t="str">
        <f>IFERROR(VLOOKUP(C288,MATERIALES!$A:$F,6,0),"")</f>
        <v/>
      </c>
      <c r="G288" s="19">
        <f>IFERROR(VLOOKUP(C288,MATERIALES!$A:$I,9,0),0)</f>
        <v>0</v>
      </c>
      <c r="H288" s="20">
        <f t="shared" si="4"/>
        <v>0</v>
      </c>
      <c r="I288" s="17"/>
      <c r="J288" s="17"/>
    </row>
    <row r="289" spans="1:10">
      <c r="A289" s="16"/>
      <c r="B289" s="17"/>
      <c r="C289" s="17"/>
      <c r="D289" s="18" t="str">
        <f>IFERROR(VLOOKUP(C289,MATERIALES!$A:$B,2,0),"")</f>
        <v/>
      </c>
      <c r="E289" s="17"/>
      <c r="F289" s="18" t="str">
        <f>IFERROR(VLOOKUP(C289,MATERIALES!$A:$F,6,0),"")</f>
        <v/>
      </c>
      <c r="G289" s="19">
        <f>IFERROR(VLOOKUP(C289,MATERIALES!$A:$I,9,0),0)</f>
        <v>0</v>
      </c>
      <c r="H289" s="20">
        <f t="shared" si="4"/>
        <v>0</v>
      </c>
      <c r="I289" s="17"/>
      <c r="J289" s="17"/>
    </row>
    <row r="290" spans="1:10">
      <c r="A290" s="16"/>
      <c r="B290" s="17"/>
      <c r="C290" s="17"/>
      <c r="D290" s="18" t="str">
        <f>IFERROR(VLOOKUP(C290,MATERIALES!$A:$B,2,0),"")</f>
        <v/>
      </c>
      <c r="E290" s="17"/>
      <c r="F290" s="18" t="str">
        <f>IFERROR(VLOOKUP(C290,MATERIALES!$A:$F,6,0),"")</f>
        <v/>
      </c>
      <c r="G290" s="19">
        <f>IFERROR(VLOOKUP(C290,MATERIALES!$A:$I,9,0),0)</f>
        <v>0</v>
      </c>
      <c r="H290" s="20">
        <f t="shared" si="4"/>
        <v>0</v>
      </c>
      <c r="I290" s="17"/>
      <c r="J290" s="17"/>
    </row>
    <row r="291" spans="1:10">
      <c r="A291" s="16"/>
      <c r="B291" s="17"/>
      <c r="C291" s="17"/>
      <c r="D291" s="18" t="str">
        <f>IFERROR(VLOOKUP(C291,MATERIALES!$A:$B,2,0),"")</f>
        <v/>
      </c>
      <c r="E291" s="17"/>
      <c r="F291" s="18" t="str">
        <f>IFERROR(VLOOKUP(C291,MATERIALES!$A:$F,6,0),"")</f>
        <v/>
      </c>
      <c r="G291" s="19">
        <f>IFERROR(VLOOKUP(C291,MATERIALES!$A:$I,9,0),0)</f>
        <v>0</v>
      </c>
      <c r="H291" s="20">
        <f t="shared" si="4"/>
        <v>0</v>
      </c>
      <c r="I291" s="17"/>
      <c r="J291" s="17"/>
    </row>
    <row r="292" spans="1:10">
      <c r="A292" s="16"/>
      <c r="B292" s="17"/>
      <c r="C292" s="17"/>
      <c r="D292" s="18" t="str">
        <f>IFERROR(VLOOKUP(C292,MATERIALES!$A:$B,2,0),"")</f>
        <v/>
      </c>
      <c r="E292" s="17"/>
      <c r="F292" s="18" t="str">
        <f>IFERROR(VLOOKUP(C292,MATERIALES!$A:$F,6,0),"")</f>
        <v/>
      </c>
      <c r="G292" s="19">
        <f>IFERROR(VLOOKUP(C292,MATERIALES!$A:$I,9,0),0)</f>
        <v>0</v>
      </c>
      <c r="H292" s="20">
        <f t="shared" si="4"/>
        <v>0</v>
      </c>
      <c r="I292" s="17"/>
      <c r="J292" s="17"/>
    </row>
    <row r="293" spans="1:10">
      <c r="A293" s="16"/>
      <c r="B293" s="17"/>
      <c r="C293" s="17"/>
      <c r="D293" s="18" t="str">
        <f>IFERROR(VLOOKUP(C293,MATERIALES!$A:$B,2,0),"")</f>
        <v/>
      </c>
      <c r="E293" s="17"/>
      <c r="F293" s="18" t="str">
        <f>IFERROR(VLOOKUP(C293,MATERIALES!$A:$F,6,0),"")</f>
        <v/>
      </c>
      <c r="G293" s="19">
        <f>IFERROR(VLOOKUP(C293,MATERIALES!$A:$I,9,0),0)</f>
        <v>0</v>
      </c>
      <c r="H293" s="20">
        <f t="shared" si="4"/>
        <v>0</v>
      </c>
      <c r="I293" s="17"/>
      <c r="J293" s="17"/>
    </row>
    <row r="294" spans="1:10">
      <c r="A294" s="16"/>
      <c r="B294" s="17"/>
      <c r="C294" s="17"/>
      <c r="D294" s="18" t="str">
        <f>IFERROR(VLOOKUP(C294,MATERIALES!$A:$B,2,0),"")</f>
        <v/>
      </c>
      <c r="E294" s="17"/>
      <c r="F294" s="18" t="str">
        <f>IFERROR(VLOOKUP(C294,MATERIALES!$A:$F,6,0),"")</f>
        <v/>
      </c>
      <c r="G294" s="19">
        <f>IFERROR(VLOOKUP(C294,MATERIALES!$A:$I,9,0),0)</f>
        <v>0</v>
      </c>
      <c r="H294" s="20">
        <f t="shared" si="4"/>
        <v>0</v>
      </c>
      <c r="I294" s="17"/>
      <c r="J294" s="17"/>
    </row>
    <row r="295" spans="1:10">
      <c r="A295" s="16"/>
      <c r="B295" s="17"/>
      <c r="C295" s="17"/>
      <c r="D295" s="18" t="str">
        <f>IFERROR(VLOOKUP(C295,MATERIALES!$A:$B,2,0),"")</f>
        <v/>
      </c>
      <c r="E295" s="17"/>
      <c r="F295" s="18" t="str">
        <f>IFERROR(VLOOKUP(C295,MATERIALES!$A:$F,6,0),"")</f>
        <v/>
      </c>
      <c r="G295" s="19">
        <f>IFERROR(VLOOKUP(C295,MATERIALES!$A:$I,9,0),0)</f>
        <v>0</v>
      </c>
      <c r="H295" s="20">
        <f t="shared" si="4"/>
        <v>0</v>
      </c>
      <c r="I295" s="17"/>
      <c r="J295" s="17"/>
    </row>
    <row r="296" spans="1:10">
      <c r="A296" s="16"/>
      <c r="B296" s="17"/>
      <c r="C296" s="17"/>
      <c r="D296" s="18" t="str">
        <f>IFERROR(VLOOKUP(C296,MATERIALES!$A:$B,2,0),"")</f>
        <v/>
      </c>
      <c r="E296" s="17"/>
      <c r="F296" s="18" t="str">
        <f>IFERROR(VLOOKUP(C296,MATERIALES!$A:$F,6,0),"")</f>
        <v/>
      </c>
      <c r="G296" s="19">
        <f>IFERROR(VLOOKUP(C296,MATERIALES!$A:$I,9,0),0)</f>
        <v>0</v>
      </c>
      <c r="H296" s="20">
        <f t="shared" si="4"/>
        <v>0</v>
      </c>
      <c r="I296" s="17"/>
      <c r="J296" s="17"/>
    </row>
    <row r="297" spans="1:10">
      <c r="A297" s="16"/>
      <c r="B297" s="17"/>
      <c r="C297" s="17"/>
      <c r="D297" s="18" t="str">
        <f>IFERROR(VLOOKUP(C297,MATERIALES!$A:$B,2,0),"")</f>
        <v/>
      </c>
      <c r="E297" s="17"/>
      <c r="F297" s="18" t="str">
        <f>IFERROR(VLOOKUP(C297,MATERIALES!$A:$F,6,0),"")</f>
        <v/>
      </c>
      <c r="G297" s="19">
        <f>IFERROR(VLOOKUP(C297,MATERIALES!$A:$I,9,0),0)</f>
        <v>0</v>
      </c>
      <c r="H297" s="20">
        <f t="shared" si="4"/>
        <v>0</v>
      </c>
      <c r="I297" s="17"/>
      <c r="J297" s="17"/>
    </row>
    <row r="298" spans="1:10">
      <c r="A298" s="16"/>
      <c r="B298" s="17"/>
      <c r="C298" s="17"/>
      <c r="D298" s="18" t="str">
        <f>IFERROR(VLOOKUP(C298,MATERIALES!$A:$B,2,0),"")</f>
        <v/>
      </c>
      <c r="E298" s="17"/>
      <c r="F298" s="18" t="str">
        <f>IFERROR(VLOOKUP(C298,MATERIALES!$A:$F,6,0),"")</f>
        <v/>
      </c>
      <c r="G298" s="19">
        <f>IFERROR(VLOOKUP(C298,MATERIALES!$A:$I,9,0),0)</f>
        <v>0</v>
      </c>
      <c r="H298" s="20">
        <f t="shared" si="4"/>
        <v>0</v>
      </c>
      <c r="I298" s="17"/>
      <c r="J298" s="17"/>
    </row>
    <row r="299" spans="1:10">
      <c r="A299" s="16"/>
      <c r="B299" s="17"/>
      <c r="C299" s="17"/>
      <c r="D299" s="18" t="str">
        <f>IFERROR(VLOOKUP(C299,MATERIALES!$A:$B,2,0),"")</f>
        <v/>
      </c>
      <c r="E299" s="17"/>
      <c r="F299" s="18" t="str">
        <f>IFERROR(VLOOKUP(C299,MATERIALES!$A:$F,6,0),"")</f>
        <v/>
      </c>
      <c r="G299" s="19">
        <f>IFERROR(VLOOKUP(C299,MATERIALES!$A:$I,9,0),0)</f>
        <v>0</v>
      </c>
      <c r="H299" s="20">
        <f t="shared" si="4"/>
        <v>0</v>
      </c>
      <c r="I299" s="17"/>
      <c r="J299" s="17"/>
    </row>
    <row r="300" spans="1:10">
      <c r="A300" s="16"/>
      <c r="B300" s="17"/>
      <c r="C300" s="17"/>
      <c r="D300" s="18" t="str">
        <f>IFERROR(VLOOKUP(C300,MATERIALES!$A:$B,2,0),"")</f>
        <v/>
      </c>
      <c r="E300" s="17"/>
      <c r="F300" s="18" t="str">
        <f>IFERROR(VLOOKUP(C300,MATERIALES!$A:$F,6,0),"")</f>
        <v/>
      </c>
      <c r="G300" s="19">
        <f>IFERROR(VLOOKUP(C300,MATERIALES!$A:$I,9,0),0)</f>
        <v>0</v>
      </c>
      <c r="H300" s="20">
        <f t="shared" si="4"/>
        <v>0</v>
      </c>
      <c r="I300" s="17"/>
      <c r="J300" s="17"/>
    </row>
  </sheetData>
  <sheetProtection password="840F" sheet="1" insertRows="0" sort="0" autoFilter="0"/>
  <mergeCells count="1">
    <mergeCell ref="E1:G1"/>
  </mergeCells>
  <dataValidations count="2">
    <dataValidation type="list" showErrorMessage="1" error="Selecciona una opcion de la lista" sqref="B5:B500">
      <formula1>CONFIGURACION!$E$14:$E$17</formula1>
    </dataValidation>
    <dataValidation type="list" showErrorMessage="1" error="Selecciona una opcion de la lista" sqref="C5:C500">
      <formula1>MATERIALES!$A$5:$A$100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2" sqref="A2:C2"/>
    </sheetView>
  </sheetViews>
  <sheetFormatPr defaultColWidth="9" defaultRowHeight="15" outlineLevelRow="2" outlineLevelCol="7"/>
  <sheetData>
    <row r="1" ht="40" customHeight="1" spans="1:8">
      <c r="A1" s="1" t="s">
        <v>293</v>
      </c>
      <c r="B1" s="1" t="s">
        <v>293</v>
      </c>
      <c r="C1" s="1" t="s">
        <v>293</v>
      </c>
      <c r="D1" s="1" t="s">
        <v>293</v>
      </c>
      <c r="E1" s="1" t="s">
        <v>293</v>
      </c>
      <c r="F1" s="1" t="s">
        <v>293</v>
      </c>
      <c r="G1" s="1" t="s">
        <v>293</v>
      </c>
      <c r="H1" s="1" t="s">
        <v>293</v>
      </c>
    </row>
    <row r="2" ht="24" customHeight="1" spans="1:3">
      <c r="A2" s="2" t="str">
        <f>HYPERLINK("#DASHBOARD!A1","Volver al Menu Principal")</f>
        <v>Volver al Menu Principal</v>
      </c>
      <c r="B2" s="2" t="s">
        <v>294</v>
      </c>
      <c r="C2" s="2" t="s">
        <v>294</v>
      </c>
    </row>
    <row r="3" ht="20" customHeight="1" spans="1:8">
      <c r="A3" s="3" t="s">
        <v>295</v>
      </c>
      <c r="B3" s="3" t="s">
        <v>295</v>
      </c>
      <c r="C3" s="3" t="s">
        <v>295</v>
      </c>
      <c r="D3" s="3" t="s">
        <v>295</v>
      </c>
      <c r="E3" s="3" t="s">
        <v>295</v>
      </c>
      <c r="F3" s="3" t="s">
        <v>295</v>
      </c>
      <c r="G3" s="3" t="s">
        <v>295</v>
      </c>
      <c r="H3" s="3" t="s">
        <v>295</v>
      </c>
    </row>
  </sheetData>
  <mergeCells count="3">
    <mergeCell ref="A1:H1"/>
    <mergeCell ref="A2:C2"/>
    <mergeCell ref="A3:H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/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DASHBOARD</vt:lpstr>
      <vt:lpstr>CONFIGURACION</vt:lpstr>
      <vt:lpstr>MATERIALES</vt:lpstr>
      <vt:lpstr>RECETAS</vt:lpstr>
      <vt:lpstr>PRODUCTOS</vt:lpstr>
      <vt:lpstr>VENTAS</vt:lpstr>
      <vt:lpstr>MOVIMIENTOS</vt:lpstr>
      <vt:lpstr>REPORTES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Francks</cp:lastModifiedBy>
  <dcterms:created xsi:type="dcterms:W3CDTF">2026-06-28T04:46:23Z</dcterms:created>
  <dcterms:modified xsi:type="dcterms:W3CDTF">2026-06-28T16:55:52Z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BC6FCA15CEEC4608AE886BD3361276E8_12</vt:lpwstr>
  </property>
  <property fmtid="{D5CDD505-2E9C-101B-9397-08002B2CF9AE}" pid="3" name="KSOProductBuildVer">
    <vt:lpwstr>3082-12.2.0.22549</vt:lpwstr>
  </property>
</Properties>
</file>