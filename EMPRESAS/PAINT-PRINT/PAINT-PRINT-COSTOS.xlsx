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770" tabRatio="643" firstSheet="1" activeTab="6"/>
  </bookViews>
  <sheets>
    <sheet name="DASHBOARD" sheetId="1" r:id="rId1"/>
    <sheet name="PRODUCTOS" sheetId="2" r:id="rId2"/>
    <sheet name="MATERIAS-PRIMAS" sheetId="3" r:id="rId3"/>
    <sheet name="MANO-DE-OBRA" sheetId="4" r:id="rId4"/>
    <sheet name="COSTOS" sheetId="5" r:id="rId5"/>
    <sheet name="MARGEN" sheetId="6" r:id="rId6"/>
    <sheet name="PRECIO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<sst xmlns="http://schemas.openxmlformats.org/spreadsheetml/2006/main" count="443" uniqueCount="317">
  <si>
    <t>PAINT PRINT - DASHBOARD FINANCIERO</t>
  </si>
  <si>
    <t>Panel de Control Mensual / Ecosistema Jefferson / Tu estilo, Nuestra Pasion</t>
  </si>
  <si>
    <t>INDICADORES CLAVE DEL MES</t>
  </si>
  <si>
    <t>KPI</t>
  </si>
  <si>
    <t>META</t>
  </si>
  <si>
    <t>REAL MES</t>
  </si>
  <si>
    <t>VARIACION</t>
  </si>
  <si>
    <t>ESTADO</t>
  </si>
  <si>
    <t>Pedidos completados</t>
  </si>
  <si>
    <t>&gt;=15 pedidos</t>
  </si>
  <si>
    <t>Actualizar</t>
  </si>
  <si>
    <t>Ventas brutas</t>
  </si>
  <si>
    <t>Crecimiento 10%</t>
  </si>
  <si>
    <t>Ticket promedio</t>
  </si>
  <si>
    <t>Q 45+ por pedido</t>
  </si>
  <si>
    <t>Margen promedio</t>
  </si>
  <si>
    <t>&gt;=60%</t>
  </si>
  <si>
    <t>Clientes nuevos</t>
  </si>
  <si>
    <t>&gt;=5 clientes</t>
  </si>
  <si>
    <t>Clientes recurrentes</t>
  </si>
  <si>
    <t>&gt;=40% del total</t>
  </si>
  <si>
    <t>PRODUCTOS MAS RENTABLES (TOP 5)</t>
  </si>
  <si>
    <t>Producto</t>
  </si>
  <si>
    <t>Precio</t>
  </si>
  <si>
    <t>Costo</t>
  </si>
  <si>
    <t>Margen Q</t>
  </si>
  <si>
    <t>Margen %</t>
  </si>
  <si>
    <t>PP-007 Stickers personalizados</t>
  </si>
  <si>
    <t>Q 40.00</t>
  </si>
  <si>
    <t>Q 12.00</t>
  </si>
  <si>
    <t>Q 28.00</t>
  </si>
  <si>
    <t>PP-005 Etiquetas personalizadas</t>
  </si>
  <si>
    <t>PP-001 Topper personalizado</t>
  </si>
  <si>
    <t>PP-009 Cuadro Neon Flex</t>
  </si>
  <si>
    <t>PP-006 Tarjetas de presentacion</t>
  </si>
  <si>
    <t>Ver hoja MARGEN para detalle completo</t>
  </si>
  <si>
    <t>ALERTAS OPERATIVAS</t>
  </si>
  <si>
    <t>Cuadro Neon Flex (PP-009) subestimado</t>
  </si>
  <si>
    <t>Precio actual Q550 vs recomendado Q720 -- SUBIR</t>
  </si>
  <si>
    <t>Toppers (PP-001) bajo margen objetivo</t>
  </si>
  <si>
    <t>Meta 70% -- actual 66.2% -- revisar costo</t>
  </si>
  <si>
    <t>Sin pago = sin produccion</t>
  </si>
  <si>
    <t>Regla 7 OS: confirmar pago antes de iniciar</t>
  </si>
  <si>
    <t>Costos sin registrar = perdida</t>
  </si>
  <si>
    <t>Regla 6 OS: calcular costo antes de cotizar</t>
  </si>
  <si>
    <t>Paint Print v1.0 / Ecosistema Jefferson / Junio 2026 / Tu estilo, Nuestra Pasion</t>
  </si>
  <si>
    <t>CATALOGO DE PRODUCTOS - PAINT PRINT</t>
  </si>
  <si>
    <t>Productos reales / Costos basados en OS Seccion 5 / Precios en Quetzales</t>
  </si>
  <si>
    <t>Margen meta general &gt;=60% / ALTA rentabilidad &gt;65% / Fuente: PAINT-PRINT-OPERATING-SYSTEM.md</t>
  </si>
  <si>
    <t>CODIGO</t>
  </si>
  <si>
    <t>PRODUCTO</t>
  </si>
  <si>
    <t>CATEGORIA</t>
  </si>
  <si>
    <t>TIEMPO PROD.</t>
  </si>
  <si>
    <t>MATERIAL PRINCIPAL</t>
  </si>
  <si>
    <t>PRECIO VENTA</t>
  </si>
  <si>
    <t>COSTO TOTAL</t>
  </si>
  <si>
    <t>MARGEN Q</t>
  </si>
  <si>
    <t>MARGEN %</t>
  </si>
  <si>
    <t>PRIORIDAD</t>
  </si>
  <si>
    <t>PP-001</t>
  </si>
  <si>
    <t>Topper personalizado</t>
  </si>
  <si>
    <t>Eventos y celebraciones</t>
  </si>
  <si>
    <t>45 min/pieza</t>
  </si>
  <si>
    <t>Papel foto A4 + palito madera</t>
  </si>
  <si>
    <t>1 - ALTA</t>
  </si>
  <si>
    <t>PP-002</t>
  </si>
  <si>
    <t>Topper premium iluminado</t>
  </si>
  <si>
    <t>90 min/pieza</t>
  </si>
  <si>
    <t>Acrilico + LED + cable</t>
  </si>
  <si>
    <t>2 - MEDIA</t>
  </si>
  <si>
    <t>PP-003</t>
  </si>
  <si>
    <t>Caja personalizada pequena</t>
  </si>
  <si>
    <t>Packaging</t>
  </si>
  <si>
    <t>45 min/unidad</t>
  </si>
  <si>
    <t>Cartulina 300g</t>
  </si>
  <si>
    <t>PP-004</t>
  </si>
  <si>
    <t>Caja personalizada premium</t>
  </si>
  <si>
    <t>75 min/unidad</t>
  </si>
  <si>
    <t>Cartulina 350g + laminado</t>
  </si>
  <si>
    <t>PP-005</t>
  </si>
  <si>
    <t>Etiquetas personalizadas</t>
  </si>
  <si>
    <t>Identidad empresarial</t>
  </si>
  <si>
    <t>20 min/set 20u</t>
  </si>
  <si>
    <t>Papel adhesivo brillante</t>
  </si>
  <si>
    <t>PP-006</t>
  </si>
  <si>
    <t>Tarjetas de presentacion</t>
  </si>
  <si>
    <t>35 min/100u</t>
  </si>
  <si>
    <t>Papel couche 300g</t>
  </si>
  <si>
    <t>PP-007</t>
  </si>
  <si>
    <t>Stickers personalizados</t>
  </si>
  <si>
    <t>Decoracion y Marca</t>
  </si>
  <si>
    <t>15 min/set 10u</t>
  </si>
  <si>
    <t>PP-008</t>
  </si>
  <si>
    <t>Vinilo adhesivo</t>
  </si>
  <si>
    <t>Decoracion y Rotulacion</t>
  </si>
  <si>
    <t>30 min/diseno</t>
  </si>
  <si>
    <t>Vinil adhesivo de color</t>
  </si>
  <si>
    <t>PP-009</t>
  </si>
  <si>
    <t>Cuadro Neon Flex</t>
  </si>
  <si>
    <t>Decoracion premium</t>
  </si>
  <si>
    <t>120 min/pieza</t>
  </si>
  <si>
    <t>Tira Neon Flex + base MDF</t>
  </si>
  <si>
    <t>PP-010</t>
  </si>
  <si>
    <t>Decoracion personalizada</t>
  </si>
  <si>
    <t>Decoracion de espacios</t>
  </si>
  <si>
    <t>90 min/proyecto</t>
  </si>
  <si>
    <t>Vinil + papel foto + varios</t>
  </si>
  <si>
    <t>3 - BAJA</t>
  </si>
  <si>
    <t>TOTALES / PROMEDIOS</t>
  </si>
  <si>
    <t>Fuente de datos:</t>
  </si>
  <si>
    <t>PAINT-PRINT-OPERATING-SYSTEM.md Secciones 4, 5 y 6 / Precios en Q (Quetzales)</t>
  </si>
  <si>
    <t>MATERIAS PRIMAS - PAINT PRINT</t>
  </si>
  <si>
    <t>Insumos reales por equipo / Epson L3210, Cameo 4 Plus, Plancha 10en1, Plotter TIMG</t>
  </si>
  <si>
    <t>MATERIAL</t>
  </si>
  <si>
    <t>UNIDAD</t>
  </si>
  <si>
    <t>COSTO UNIT Q</t>
  </si>
  <si>
    <t>STOCK ACT</t>
  </si>
  <si>
    <t>STOCK MIN</t>
  </si>
  <si>
    <t>PROVEEDOR</t>
  </si>
  <si>
    <t>EPSON L3210 - Impresion digital</t>
  </si>
  <si>
    <t>MP-001</t>
  </si>
  <si>
    <t>Papel foto A4 brillante (toppers/stickers)</t>
  </si>
  <si>
    <t>Hoja</t>
  </si>
  <si>
    <t>Proveedor Digital GT</t>
  </si>
  <si>
    <t>MP-002</t>
  </si>
  <si>
    <t>Papel foto A4 mate</t>
  </si>
  <si>
    <t>MP-003</t>
  </si>
  <si>
    <t>Papel adhesivo brillante (etiquetas)</t>
  </si>
  <si>
    <t>Vinil Express GT</t>
  </si>
  <si>
    <t>MP-004</t>
  </si>
  <si>
    <t>Papel adhesivo mate (stickers)</t>
  </si>
  <si>
    <t>MP-005</t>
  </si>
  <si>
    <t>Papel couche 300g (tarjetas)</t>
  </si>
  <si>
    <t>Papeleria Central</t>
  </si>
  <si>
    <t>MP-006</t>
  </si>
  <si>
    <t>Cartulina 300g (cajas pequenas)</t>
  </si>
  <si>
    <t>MP-007</t>
  </si>
  <si>
    <t>Cartulina 350g (cajas premium)</t>
  </si>
  <si>
    <t>MP-008</t>
  </si>
  <si>
    <t>Tinta Epson Negro botella</t>
  </si>
  <si>
    <t>Botella</t>
  </si>
  <si>
    <t>Epson Guatemala</t>
  </si>
  <si>
    <t>MP-009</t>
  </si>
  <si>
    <t>Tinta Epson Cian botella</t>
  </si>
  <si>
    <t>MP-010</t>
  </si>
  <si>
    <t>Tinta Epson Magenta botella</t>
  </si>
  <si>
    <t>MP-011</t>
  </si>
  <si>
    <t>Tinta Epson Amarillo botella</t>
  </si>
  <si>
    <t>CAMEO 4 PLUS - Corte de precision</t>
  </si>
  <si>
    <t>MP-012</t>
  </si>
  <si>
    <t>Vinil adhesivo de corte (colores)</t>
  </si>
  <si>
    <t>Metro</t>
  </si>
  <si>
    <t>MP-013</t>
  </si>
  <si>
    <t>Palitos de madera (toppers)</t>
  </si>
  <si>
    <t>Bolsa100</t>
  </si>
  <si>
    <t>Bazar Local</t>
  </si>
  <si>
    <t>MP-014</t>
  </si>
  <si>
    <t>Lamina de laminado brillante A4</t>
  </si>
  <si>
    <t>MP-015</t>
  </si>
  <si>
    <t>Lamina de laminado mate A4</t>
  </si>
  <si>
    <t>MP-016</t>
  </si>
  <si>
    <t>Tapete de corte Cameo (repuesto)</t>
  </si>
  <si>
    <t>Unidad</t>
  </si>
  <si>
    <t>Silhouette GT</t>
  </si>
  <si>
    <t>MP-017</t>
  </si>
  <si>
    <t>Cinta doble faz (cajas)</t>
  </si>
  <si>
    <t>Rollo</t>
  </si>
  <si>
    <t>NEON FLEX - Cuadros decorativos</t>
  </si>
  <si>
    <t>MP-018</t>
  </si>
  <si>
    <t>Tira Neon Flex LED 1m (varios colores)</t>
  </si>
  <si>
    <t>ElectroGT / MercadoL</t>
  </si>
  <si>
    <t>MP-019</t>
  </si>
  <si>
    <t>Base MDF 3mm para cuadros</t>
  </si>
  <si>
    <t>Maderas Yuri</t>
  </si>
  <si>
    <t>MP-020</t>
  </si>
  <si>
    <t>Fuente de poder 12V para Neon</t>
  </si>
  <si>
    <t>ElectroGT</t>
  </si>
  <si>
    <t>MP-021</t>
  </si>
  <si>
    <t>Pegamento UV + bridas transparentes</t>
  </si>
  <si>
    <t>Kit</t>
  </si>
  <si>
    <t>PLOTTER TIMG MG360 - Vinil grande formato</t>
  </si>
  <si>
    <t>MP-022</t>
  </si>
  <si>
    <t>Vinil adhesivo rollo 60cm (decoracion)</t>
  </si>
  <si>
    <t>MP-023</t>
  </si>
  <si>
    <t>Vinil imprimible blanco 60cm</t>
  </si>
  <si>
    <t>MANO DE OBRA - PAINT PRINT</t>
  </si>
  <si>
    <t>Tarifa segun OS Seccion 5: Objetivo Q6,240/mes (800USD) / 160hs = Q39/hora</t>
  </si>
  <si>
    <t>PROCESO / ROL</t>
  </si>
  <si>
    <t>HORAS MES</t>
  </si>
  <si>
    <t>COSTO HR Q</t>
  </si>
  <si>
    <t>TOTAL MES Q</t>
  </si>
  <si>
    <t>NOTAS</t>
  </si>
  <si>
    <t>MO-001</t>
  </si>
  <si>
    <t>Produccion Toppers (Epson + Cameo)</t>
  </si>
  <si>
    <t>0.75hr/pieza - producto estrella</t>
  </si>
  <si>
    <t>MO-002</t>
  </si>
  <si>
    <t>Produccion Toppers Premium (Acrilico+LED)</t>
  </si>
  <si>
    <t>1.5hr/pieza - producto especializado</t>
  </si>
  <si>
    <t>MO-003</t>
  </si>
  <si>
    <t>Produccion Cajas (troquelado + armado)</t>
  </si>
  <si>
    <t>45-75min/caja segun talla</t>
  </si>
  <si>
    <t>MO-004</t>
  </si>
  <si>
    <t>Produccion Etiquetas (impr + corte)</t>
  </si>
  <si>
    <t>20min/set 20u - alta rotacion</t>
  </si>
  <si>
    <t>MO-005</t>
  </si>
  <si>
    <t>Produccion Tarjetas (impr + lam + corte)</t>
  </si>
  <si>
    <t>35min/100u - proceso estandar</t>
  </si>
  <si>
    <t>MO-006</t>
  </si>
  <si>
    <t>Produccion Stickers (impr + corte)</t>
  </si>
  <si>
    <t>15min/set - proceso mas rapido</t>
  </si>
  <si>
    <t>MO-007</t>
  </si>
  <si>
    <t>Produccion Vinilo (corte + aplicacion)</t>
  </si>
  <si>
    <t>30min/diseno - variacion alta</t>
  </si>
  <si>
    <t>MO-008</t>
  </si>
  <si>
    <t>Produccion Neon Flex (armado + cableado)</t>
  </si>
  <si>
    <t>2hr/pieza - mayor complejidad</t>
  </si>
  <si>
    <t>MO-009</t>
  </si>
  <si>
    <t>Produccion Decoracion personalizada</t>
  </si>
  <si>
    <t>90min/proyecto - cotizar bien</t>
  </si>
  <si>
    <t>MO-010</t>
  </si>
  <si>
    <t>Diseno grafico Wacom / Adobe</t>
  </si>
  <si>
    <t>Incluido en precio - diferencial</t>
  </si>
  <si>
    <t>MO-011</t>
  </si>
  <si>
    <t>Atencion clientes y cotizaciones</t>
  </si>
  <si>
    <t>Clave comercial - no descuidar</t>
  </si>
  <si>
    <t>MO-012</t>
  </si>
  <si>
    <t>Administracion y registro</t>
  </si>
  <si>
    <t>Regla 1 OS: todo gasto se registra</t>
  </si>
  <si>
    <t>TOTAL MANO DE OBRA MES</t>
  </si>
  <si>
    <t>GASTOS FIJOS Y OVERHEAD MENSUAL</t>
  </si>
  <si>
    <t>GASTO</t>
  </si>
  <si>
    <t>COSTO MES Q</t>
  </si>
  <si>
    <t>GF-001</t>
  </si>
  <si>
    <t>Electricidad (Epson + Cameo + Plancha)</t>
  </si>
  <si>
    <t>Plancha 1400W = mayor consumo</t>
  </si>
  <si>
    <t>GF-002</t>
  </si>
  <si>
    <t>Internet y telefonia</t>
  </si>
  <si>
    <t>Comunicacion con clientes</t>
  </si>
  <si>
    <t>GF-003</t>
  </si>
  <si>
    <t>Adobe Creative Cloud (diseno)</t>
  </si>
  <si>
    <t>Herramienta core de produccion</t>
  </si>
  <si>
    <t>GF-004</t>
  </si>
  <si>
    <t>Mantenimiento y limpieza equipos</t>
  </si>
  <si>
    <t>Provision 5% valor equipos</t>
  </si>
  <si>
    <t>GF-005</t>
  </si>
  <si>
    <t>Consumibles varios (bridas, pegamento)</t>
  </si>
  <si>
    <t>Materiales de apoyo generales</t>
  </si>
  <si>
    <t>GF-006</t>
  </si>
  <si>
    <t>Empaques y presentacion</t>
  </si>
  <si>
    <t>Presentacion = parte del producto</t>
  </si>
  <si>
    <t>GF-007</t>
  </si>
  <si>
    <t>Arriendo espacio</t>
  </si>
  <si>
    <t>Casa propia - sin costo actual</t>
  </si>
  <si>
    <t>TOTAL GASTOS FIJOS MES</t>
  </si>
  <si>
    <t>COSTO TOTAL OPERATIVO MES</t>
  </si>
  <si>
    <t>ESTRUCTURA DE COSTOS POR PRODUCTO - PAINT PRINT</t>
  </si>
  <si>
    <t>Formula OS: Costo = Materiales + Mano Obra + Energia + Desgaste Equipo + GF Prorrateado</t>
  </si>
  <si>
    <t>Tarifa MO: Q39/hora (objetivo Q6,240/mes / 160hs) / Fuente: OS Seccion 5</t>
  </si>
  <si>
    <t>MAT Q</t>
  </si>
  <si>
    <t>MANO OBRA Q</t>
  </si>
  <si>
    <t>ENERGIA Q</t>
  </si>
  <si>
    <t>DESGASTE Q</t>
  </si>
  <si>
    <t>GF PRORAT. Q</t>
  </si>
  <si>
    <t>COSTO TOTAL Q</t>
  </si>
  <si>
    <t>NOTAS / EQUIPOS</t>
  </si>
  <si>
    <t>Epson L3210 + Cameo 4 Plus / 45 min</t>
  </si>
  <si>
    <t>Acrilico + LED + Cameo / 90 min</t>
  </si>
  <si>
    <t>Caja personalizada pq</t>
  </si>
  <si>
    <t>Epson L3210 + Cameo / 45 min</t>
  </si>
  <si>
    <t>Epson + Cameo + Laminadora / 75 min</t>
  </si>
  <si>
    <t>Epson L3210 + Cameo / 20 min/set</t>
  </si>
  <si>
    <t>Epson + Cameo + Laminadora / 35 min</t>
  </si>
  <si>
    <t>Epson L3210 + Cameo / 15 min/set</t>
  </si>
  <si>
    <t>Plotter TIMG MG360 / 30 min</t>
  </si>
  <si>
    <t>Cameo + mat LED + base MDF / 120 min</t>
  </si>
  <si>
    <t>Plotter TIMG + Cameo / 90 min</t>
  </si>
  <si>
    <t>TOTALES</t>
  </si>
  <si>
    <t>ANALISIS DE MARGENES - PAINT PRINT</t>
  </si>
  <si>
    <t>Meta minima: 60% / Alta rentabilidad: &gt;65% / Critico: &lt;45% / Fuente OS Seccion 6</t>
  </si>
  <si>
    <t>Criterio OS: ALTA &gt;65% en &lt;45min, MEDIA 45-65% en 45min-2hs, BAJA &lt;45% o &gt;2hs</t>
  </si>
  <si>
    <t>PRECIO MIN 60%</t>
  </si>
  <si>
    <t>CLASIF. OS</t>
  </si>
  <si>
    <t>SEMAFORO</t>
  </si>
  <si>
    <t>ALTA - Priorizar</t>
  </si>
  <si>
    <t>MEDIA - Mantener</t>
  </si>
  <si>
    <t>MEDIA - Optimizar</t>
  </si>
  <si>
    <t>MEDIA - Subir precio</t>
  </si>
  <si>
    <t>BAJA - Solo con cotizacion</t>
  </si>
  <si>
    <t>PROMEDIO / TOTAL</t>
  </si>
  <si>
    <t>REGLA OS:</t>
  </si>
  <si>
    <t>Si producto BAJA rentabilidad ocupa &gt;15% tiempo mes, eliminar o subir precio. PP-009: precio debe ser Q720 para margen 75%.</t>
  </si>
  <si>
    <t>TABLA DE PRECIOS RECOMENDADOS - PAINT PRINT</t>
  </si>
  <si>
    <t>Precio recomendado = Costo / (1 - Margen objetivo) / Formula OS Seccion 5</t>
  </si>
  <si>
    <t>Margenes objetivo por categoria: Toppers 70% / Stickers 75% / Cajas 60% / Tarjetas 65% / Neon 75%</t>
  </si>
  <si>
    <t>MRG OBJETIVO</t>
  </si>
  <si>
    <t>PRECIO RECOM</t>
  </si>
  <si>
    <t>PRECIO ACTUAL</t>
  </si>
  <si>
    <t>DIF Q</t>
  </si>
  <si>
    <t>DECISION</t>
  </si>
  <si>
    <t>ACCION OS</t>
  </si>
  <si>
    <t>Margen 66% - cerca de meta 70%</t>
  </si>
  <si>
    <t>Margen 62% - subir para meta 70%</t>
  </si>
  <si>
    <t>Margen 62.7% - sobre meta 60%</t>
  </si>
  <si>
    <t>Margen 63.3% - sobre meta 60%</t>
  </si>
  <si>
    <t>Margen 67.3% - cerca de meta 70%</t>
  </si>
  <si>
    <t>Margen 64% - cerca de meta 65%</t>
  </si>
  <si>
    <t>Margen 70% - bajo meta 75% OS</t>
  </si>
  <si>
    <t>Margen 63% - cerca de meta 65%</t>
  </si>
  <si>
    <t>CRITICO: meta Q720 vs actual Q550</t>
  </si>
  <si>
    <t>Margen 63.5% - cerca meta - cotizar</t>
  </si>
  <si>
    <t>RESUMEN DE PRECIOS SEGUN OPERATING SYSTEM</t>
  </si>
  <si>
    <t>REGLA CLAVE:</t>
  </si>
  <si>
    <t>Regla 9 OS - Los precios suben, nunca bajan por presion. Ajustar alcance si el cliente pide descuento.</t>
  </si>
  <si>
    <t>PRECIO MIN:</t>
  </si>
  <si>
    <t>Usar formula Precio = Costo / (1 - Margen objetivo) SIEMPRE antes de cotizar. Regla 6 OS.</t>
  </si>
  <si>
    <t>NEON FLEX:</t>
  </si>
  <si>
    <t>OS dice: Subir precio a Q720. Si cliente no acepta, no producir. Actualmente se cobra Q550 = margen 67% vs meta 75%.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</si>
</sst>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Q&quot;#.##000"/>
    <numFmt numFmtId="179" formatCode="#,#00%"/>
  </numFmts>
  <fonts count="28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B41E1E"/>
      <name val="Calibri"/>
      <charset val="134"/>
      <scheme val="minor"/>
    </font>
    <font>
      <i/>
      <sz val="11"/>
      <color rgb="FFB41E1E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11"/>
      <color rgb="FF152035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52035"/>
        <bgColor indexed="64"/>
      </patternFill>
    </fill>
    <fill>
      <patternFill patternType="solid">
        <fgColor rgb="FFE85D04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B41E1E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1" borderId="4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2" borderId="0" xfId="0" applyFont="1" applyFill="1" applyAlignment="1">
      <alignment horizontal="center" wrapText="1"/>
    </xf>
    <xf numFmtId="178" fontId="0" fillId="0" borderId="0" xfId="0" applyNumberFormat="1"/>
    <xf numFmtId="179" fontId="0" fillId="0" borderId="0" xfId="0" applyNumberFormat="1"/>
    <xf numFmtId="0" fontId="0" fillId="5" borderId="0" xfId="0" applyFill="1"/>
    <xf numFmtId="178" fontId="0" fillId="5" borderId="0" xfId="0" applyNumberFormat="1" applyFill="1"/>
    <xf numFmtId="179" fontId="0" fillId="5" borderId="0" xfId="0" applyNumberFormat="1" applyFill="1"/>
    <xf numFmtId="0" fontId="2" fillId="0" borderId="0" xfId="0" applyFont="1"/>
    <xf numFmtId="0" fontId="3" fillId="0" borderId="0" xfId="0" applyFont="1"/>
    <xf numFmtId="0" fontId="1" fillId="6" borderId="0" xfId="0" applyFont="1" applyFill="1"/>
    <xf numFmtId="0" fontId="0" fillId="6" borderId="0" xfId="0" applyFill="1"/>
    <xf numFmtId="178" fontId="1" fillId="2" borderId="0" xfId="0" applyNumberFormat="1" applyFont="1" applyFill="1"/>
    <xf numFmtId="179" fontId="1" fillId="2" borderId="0" xfId="0" applyNumberFormat="1" applyFont="1" applyFill="1"/>
    <xf numFmtId="0" fontId="4" fillId="0" borderId="0" xfId="0" applyFont="1"/>
    <xf numFmtId="0" fontId="1" fillId="7" borderId="0" xfId="0" applyFont="1" applyFill="1"/>
    <xf numFmtId="0" fontId="0" fillId="7" borderId="0" xfId="0" applyFill="1"/>
    <xf numFmtId="178" fontId="2" fillId="0" borderId="0" xfId="0" applyNumberFormat="1" applyFont="1"/>
    <xf numFmtId="178" fontId="2" fillId="5" borderId="0" xfId="0" applyNumberFormat="1" applyFont="1" applyFill="1"/>
    <xf numFmtId="0" fontId="1" fillId="8" borderId="0" xfId="0" applyFont="1" applyFill="1"/>
    <xf numFmtId="0" fontId="0" fillId="8" borderId="0" xfId="0" applyFill="1"/>
    <xf numFmtId="178" fontId="1" fillId="8" borderId="0" xfId="0" applyNumberFormat="1" applyFont="1" applyFill="1"/>
    <xf numFmtId="178" fontId="5" fillId="2" borderId="0" xfId="0" applyNumberFormat="1" applyFont="1" applyFill="1"/>
    <xf numFmtId="0" fontId="6" fillId="0" borderId="0" xfId="0" applyFont="1"/>
    <xf numFmtId="10" fontId="0" fillId="0" borderId="0" xfId="0" applyNumberFormat="1"/>
    <xf numFmtId="0" fontId="7" fillId="0" borderId="0" xfId="0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52035"/>
  </sheetPr>
  <dimension ref="A1:F28"/>
  <sheetViews>
    <sheetView workbookViewId="0">
      <selection activeCell="A1" sqref="A1"/>
    </sheetView>
  </sheetViews>
  <sheetFormatPr defaultColWidth="11" defaultRowHeight="15" outlineLevelCol="5"/>
  <cols>
    <col min="1" max="1" width="3.71428571428571" customWidth="1"/>
    <col min="2" max="2" width="30.7142857142857" customWidth="1"/>
    <col min="3" max="6" width="18.7142857142857" customWidth="1"/>
  </cols>
  <sheetData>
    <row r="1" ht="20.1" customHeight="1" spans="1:6">
      <c r="A1" s="1" t="s">
        <v>0</v>
      </c>
      <c r="B1" s="2"/>
      <c r="C1" s="2"/>
      <c r="D1" s="2"/>
      <c r="E1" s="2"/>
      <c r="F1" s="2"/>
    </row>
    <row r="2" ht="20.1" customHeight="1" spans="1:6">
      <c r="A2" s="24" t="s">
        <v>1</v>
      </c>
      <c r="B2" s="25"/>
      <c r="C2" s="25"/>
      <c r="D2" s="25"/>
      <c r="E2" s="25"/>
      <c r="F2" s="25"/>
    </row>
    <row r="4" ht="20.1" customHeight="1" spans="1:6">
      <c r="A4" s="3" t="s">
        <v>2</v>
      </c>
      <c r="B4" s="4"/>
      <c r="C4" s="4"/>
      <c r="D4" s="4"/>
      <c r="E4" s="4"/>
      <c r="F4" s="4"/>
    </row>
    <row r="5" ht="27.95" customHeight="1" spans="1:6">
      <c r="A5" s="7"/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</row>
    <row r="6" ht="17.1" customHeight="1" spans="1:6">
      <c r="A6" s="10"/>
      <c r="B6" s="10" t="s">
        <v>8</v>
      </c>
      <c r="C6" s="10" t="s">
        <v>9</v>
      </c>
      <c r="D6" s="10"/>
      <c r="E6" s="10"/>
      <c r="F6" s="10" t="s">
        <v>10</v>
      </c>
    </row>
    <row r="7" ht="17.1" customHeight="1" spans="2:6">
      <c r="B7" t="s">
        <v>11</v>
      </c>
      <c r="C7" t="s">
        <v>12</v>
      </c>
      <c r="F7" t="s">
        <v>10</v>
      </c>
    </row>
    <row r="8" ht="17.1" customHeight="1" spans="1:6">
      <c r="A8" s="10"/>
      <c r="B8" s="10" t="s">
        <v>13</v>
      </c>
      <c r="C8" s="10" t="s">
        <v>14</v>
      </c>
      <c r="D8" s="10"/>
      <c r="E8" s="10"/>
      <c r="F8" s="10" t="s">
        <v>10</v>
      </c>
    </row>
    <row r="9" ht="17.1" customHeight="1" spans="2:6">
      <c r="B9" t="s">
        <v>15</v>
      </c>
      <c r="C9" t="s">
        <v>16</v>
      </c>
      <c r="F9" t="s">
        <v>10</v>
      </c>
    </row>
    <row r="10" ht="17.1" customHeight="1" spans="1:6">
      <c r="A10" s="10"/>
      <c r="B10" s="10" t="s">
        <v>17</v>
      </c>
      <c r="C10" s="10" t="s">
        <v>18</v>
      </c>
      <c r="D10" s="10"/>
      <c r="E10" s="10"/>
      <c r="F10" s="10" t="s">
        <v>10</v>
      </c>
    </row>
    <row r="11" ht="17.1" customHeight="1" spans="2:6">
      <c r="B11" t="s">
        <v>19</v>
      </c>
      <c r="C11" t="s">
        <v>20</v>
      </c>
      <c r="F11" t="s">
        <v>10</v>
      </c>
    </row>
    <row r="13" ht="20.1" customHeight="1" spans="1:6">
      <c r="A13" s="15" t="s">
        <v>21</v>
      </c>
      <c r="B13" s="16"/>
      <c r="C13" s="16"/>
      <c r="D13" s="16"/>
      <c r="E13" s="16"/>
      <c r="F13" s="16"/>
    </row>
    <row r="14" ht="27.95" customHeight="1" spans="1:6">
      <c r="A14" s="7"/>
      <c r="B14" s="7" t="s">
        <v>22</v>
      </c>
      <c r="C14" s="7" t="s">
        <v>23</v>
      </c>
      <c r="D14" s="7" t="s">
        <v>24</v>
      </c>
      <c r="E14" s="7" t="s">
        <v>25</v>
      </c>
      <c r="F14" s="7" t="s">
        <v>26</v>
      </c>
    </row>
    <row r="15" spans="2:6">
      <c r="B15" t="s">
        <v>27</v>
      </c>
      <c r="C15" t="s">
        <v>28</v>
      </c>
      <c r="D15" t="s">
        <v>29</v>
      </c>
      <c r="E15" t="s">
        <v>30</v>
      </c>
      <c r="F15" s="29">
        <v>0.7</v>
      </c>
    </row>
    <row r="16" spans="2:2">
      <c r="B16" t="s">
        <v>31</v>
      </c>
    </row>
    <row r="17" spans="2:2">
      <c r="B17" t="s">
        <v>32</v>
      </c>
    </row>
    <row r="18" spans="2:2">
      <c r="B18" t="s">
        <v>33</v>
      </c>
    </row>
    <row r="19" spans="2:2">
      <c r="B19" t="s">
        <v>34</v>
      </c>
    </row>
    <row r="20" spans="2:2">
      <c r="B20" s="28" t="s">
        <v>35</v>
      </c>
    </row>
    <row r="22" ht="20.1" customHeight="1" spans="1:6">
      <c r="A22" s="20" t="s">
        <v>36</v>
      </c>
      <c r="B22" s="21"/>
      <c r="C22" s="21"/>
      <c r="D22" s="21"/>
      <c r="E22" s="21"/>
      <c r="F22" s="21"/>
    </row>
    <row r="23" spans="2:3">
      <c r="B23" s="13" t="s">
        <v>37</v>
      </c>
      <c r="C23" t="s">
        <v>38</v>
      </c>
    </row>
    <row r="24" spans="2:3">
      <c r="B24" s="13" t="s">
        <v>39</v>
      </c>
      <c r="C24" t="s">
        <v>40</v>
      </c>
    </row>
    <row r="25" spans="2:3">
      <c r="B25" s="13" t="s">
        <v>41</v>
      </c>
      <c r="C25" t="s">
        <v>42</v>
      </c>
    </row>
    <row r="26" spans="2:3">
      <c r="B26" s="13" t="s">
        <v>43</v>
      </c>
      <c r="C26" t="s">
        <v>44</v>
      </c>
    </row>
    <row r="28" spans="2:2">
      <c r="B28" s="30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J17"/>
  <sheetViews>
    <sheetView topLeftCell="A3" workbookViewId="0">
      <selection activeCell="A1" sqref="A1"/>
    </sheetView>
  </sheetViews>
  <sheetFormatPr defaultColWidth="11" defaultRowHeight="15"/>
  <cols>
    <col min="1" max="1" width="8.71428571428571" customWidth="1"/>
    <col min="2" max="2" width="26.7142857142857" customWidth="1"/>
    <col min="3" max="3" width="18.7142857142857" customWidth="1"/>
    <col min="4" max="4" width="14.7142857142857" customWidth="1"/>
    <col min="5" max="5" width="22.7142857142857" customWidth="1"/>
    <col min="6" max="7" width="13.7142857142857" customWidth="1"/>
    <col min="8" max="8" width="12.7142857142857" customWidth="1"/>
    <col min="9" max="9" width="10.7142857142857" customWidth="1"/>
    <col min="10" max="10" width="14.7142857142857" customWidth="1"/>
  </cols>
  <sheetData>
    <row r="1" ht="20.1" customHeight="1" spans="1:10">
      <c r="A1" s="1" t="s">
        <v>46</v>
      </c>
      <c r="B1" s="2"/>
      <c r="C1" s="2"/>
      <c r="D1" s="2"/>
      <c r="E1" s="2"/>
      <c r="F1" s="2"/>
      <c r="G1" s="2"/>
      <c r="H1" s="2"/>
      <c r="I1" s="2"/>
      <c r="J1" s="2"/>
    </row>
    <row r="2" ht="20.1" customHeight="1" spans="1:10">
      <c r="A2" s="24" t="s">
        <v>47</v>
      </c>
      <c r="B2" s="25"/>
      <c r="C2" s="25"/>
      <c r="D2" s="25"/>
      <c r="E2" s="25"/>
      <c r="F2" s="25"/>
      <c r="G2" s="25"/>
      <c r="H2" s="25"/>
      <c r="I2" s="25"/>
      <c r="J2" s="25"/>
    </row>
    <row r="3" ht="20.1" customHeight="1" spans="1:10">
      <c r="A3" s="5" t="s">
        <v>48</v>
      </c>
      <c r="B3" s="6"/>
      <c r="C3" s="6"/>
      <c r="D3" s="6"/>
      <c r="E3" s="6"/>
      <c r="F3" s="6"/>
      <c r="G3" s="6"/>
      <c r="H3" s="6"/>
      <c r="I3" s="6"/>
      <c r="J3" s="6"/>
    </row>
    <row r="4" ht="27.95" customHeight="1" spans="1:10">
      <c r="A4" s="7" t="s">
        <v>49</v>
      </c>
      <c r="B4" s="7" t="s">
        <v>50</v>
      </c>
      <c r="C4" s="7" t="s">
        <v>51</v>
      </c>
      <c r="D4" s="7" t="s">
        <v>52</v>
      </c>
      <c r="E4" s="7" t="s">
        <v>53</v>
      </c>
      <c r="F4" s="7" t="s">
        <v>54</v>
      </c>
      <c r="G4" s="7" t="s">
        <v>55</v>
      </c>
      <c r="H4" s="7" t="s">
        <v>56</v>
      </c>
      <c r="I4" s="7" t="s">
        <v>57</v>
      </c>
      <c r="J4" s="7" t="s">
        <v>58</v>
      </c>
    </row>
    <row r="5" ht="17.1" customHeight="1" spans="1:10">
      <c r="A5" t="s">
        <v>59</v>
      </c>
      <c r="B5" t="s">
        <v>60</v>
      </c>
      <c r="C5" t="s">
        <v>61</v>
      </c>
      <c r="D5" t="s">
        <v>62</v>
      </c>
      <c r="E5" t="s">
        <v>63</v>
      </c>
      <c r="F5" s="8">
        <v>65</v>
      </c>
      <c r="G5" s="8">
        <v>22</v>
      </c>
      <c r="H5" s="8">
        <f t="shared" ref="H5:H14" si="0">F5-G5</f>
        <v>43</v>
      </c>
      <c r="I5" s="9">
        <f t="shared" ref="I5:I14" si="1">IF(F5&gt;0,(F5-G5)/F5,0)</f>
        <v>0.661538461538462</v>
      </c>
      <c r="J5" t="s">
        <v>64</v>
      </c>
    </row>
    <row r="6" ht="17.1" customHeight="1" spans="1:10">
      <c r="A6" s="10" t="s">
        <v>65</v>
      </c>
      <c r="B6" s="10" t="s">
        <v>66</v>
      </c>
      <c r="C6" s="10" t="s">
        <v>61</v>
      </c>
      <c r="D6" s="10" t="s">
        <v>67</v>
      </c>
      <c r="E6" s="10" t="s">
        <v>68</v>
      </c>
      <c r="F6" s="11">
        <v>225</v>
      </c>
      <c r="G6" s="11">
        <v>85</v>
      </c>
      <c r="H6" s="11">
        <f t="shared" si="0"/>
        <v>140</v>
      </c>
      <c r="I6" s="12">
        <f t="shared" si="1"/>
        <v>0.622222222222222</v>
      </c>
      <c r="J6" s="10" t="s">
        <v>69</v>
      </c>
    </row>
    <row r="7" ht="17.1" customHeight="1" spans="1:10">
      <c r="A7" t="s">
        <v>70</v>
      </c>
      <c r="B7" t="s">
        <v>71</v>
      </c>
      <c r="C7" t="s">
        <v>72</v>
      </c>
      <c r="D7" t="s">
        <v>73</v>
      </c>
      <c r="E7" t="s">
        <v>74</v>
      </c>
      <c r="F7" s="8">
        <v>75</v>
      </c>
      <c r="G7" s="8">
        <v>28</v>
      </c>
      <c r="H7" s="8">
        <f t="shared" si="0"/>
        <v>47</v>
      </c>
      <c r="I7" s="9">
        <f t="shared" si="1"/>
        <v>0.626666666666667</v>
      </c>
      <c r="J7" t="s">
        <v>69</v>
      </c>
    </row>
    <row r="8" ht="17.1" customHeight="1" spans="1:10">
      <c r="A8" s="10" t="s">
        <v>75</v>
      </c>
      <c r="B8" s="10" t="s">
        <v>76</v>
      </c>
      <c r="C8" s="10" t="s">
        <v>72</v>
      </c>
      <c r="D8" s="10" t="s">
        <v>77</v>
      </c>
      <c r="E8" s="10" t="s">
        <v>78</v>
      </c>
      <c r="F8" s="11">
        <v>150</v>
      </c>
      <c r="G8" s="11">
        <v>55</v>
      </c>
      <c r="H8" s="11">
        <f t="shared" si="0"/>
        <v>95</v>
      </c>
      <c r="I8" s="12">
        <f t="shared" si="1"/>
        <v>0.633333333333333</v>
      </c>
      <c r="J8" s="10" t="s">
        <v>69</v>
      </c>
    </row>
    <row r="9" ht="17.1" customHeight="1" spans="1:10">
      <c r="A9" t="s">
        <v>79</v>
      </c>
      <c r="B9" t="s">
        <v>80</v>
      </c>
      <c r="C9" t="s">
        <v>81</v>
      </c>
      <c r="D9" t="s">
        <v>82</v>
      </c>
      <c r="E9" t="s">
        <v>83</v>
      </c>
      <c r="F9" s="8">
        <v>55</v>
      </c>
      <c r="G9" s="8">
        <v>18</v>
      </c>
      <c r="H9" s="8">
        <f t="shared" si="0"/>
        <v>37</v>
      </c>
      <c r="I9" s="9">
        <f t="shared" si="1"/>
        <v>0.672727272727273</v>
      </c>
      <c r="J9" t="s">
        <v>64</v>
      </c>
    </row>
    <row r="10" ht="17.1" customHeight="1" spans="1:10">
      <c r="A10" s="10" t="s">
        <v>84</v>
      </c>
      <c r="B10" s="10" t="s">
        <v>85</v>
      </c>
      <c r="C10" s="10" t="s">
        <v>81</v>
      </c>
      <c r="D10" s="10" t="s">
        <v>86</v>
      </c>
      <c r="E10" s="10" t="s">
        <v>87</v>
      </c>
      <c r="F10" s="11">
        <v>125</v>
      </c>
      <c r="G10" s="11">
        <v>45</v>
      </c>
      <c r="H10" s="11">
        <f t="shared" si="0"/>
        <v>80</v>
      </c>
      <c r="I10" s="12">
        <f t="shared" si="1"/>
        <v>0.64</v>
      </c>
      <c r="J10" s="10" t="s">
        <v>64</v>
      </c>
    </row>
    <row r="11" ht="17.1" customHeight="1" spans="1:10">
      <c r="A11" t="s">
        <v>88</v>
      </c>
      <c r="B11" t="s">
        <v>89</v>
      </c>
      <c r="C11" t="s">
        <v>90</v>
      </c>
      <c r="D11" t="s">
        <v>91</v>
      </c>
      <c r="E11" t="s">
        <v>83</v>
      </c>
      <c r="F11" s="8">
        <v>40</v>
      </c>
      <c r="G11" s="8">
        <v>12</v>
      </c>
      <c r="H11" s="8">
        <f t="shared" si="0"/>
        <v>28</v>
      </c>
      <c r="I11" s="9">
        <f t="shared" si="1"/>
        <v>0.7</v>
      </c>
      <c r="J11" t="s">
        <v>64</v>
      </c>
    </row>
    <row r="12" ht="17.1" customHeight="1" spans="1:10">
      <c r="A12" s="10" t="s">
        <v>92</v>
      </c>
      <c r="B12" s="10" t="s">
        <v>93</v>
      </c>
      <c r="C12" s="10" t="s">
        <v>94</v>
      </c>
      <c r="D12" s="10" t="s">
        <v>95</v>
      </c>
      <c r="E12" s="10" t="s">
        <v>96</v>
      </c>
      <c r="F12" s="11">
        <v>95</v>
      </c>
      <c r="G12" s="11">
        <v>35</v>
      </c>
      <c r="H12" s="11">
        <f t="shared" si="0"/>
        <v>60</v>
      </c>
      <c r="I12" s="12">
        <f t="shared" si="1"/>
        <v>0.631578947368421</v>
      </c>
      <c r="J12" s="10" t="s">
        <v>69</v>
      </c>
    </row>
    <row r="13" ht="17.1" customHeight="1" spans="1:10">
      <c r="A13" t="s">
        <v>97</v>
      </c>
      <c r="B13" t="s">
        <v>98</v>
      </c>
      <c r="C13" t="s">
        <v>99</v>
      </c>
      <c r="D13" t="s">
        <v>100</v>
      </c>
      <c r="E13" t="s">
        <v>101</v>
      </c>
      <c r="F13" s="8">
        <v>550</v>
      </c>
      <c r="G13" s="8">
        <v>180</v>
      </c>
      <c r="H13" s="8">
        <f t="shared" si="0"/>
        <v>370</v>
      </c>
      <c r="I13" s="9">
        <f t="shared" si="1"/>
        <v>0.672727272727273</v>
      </c>
      <c r="J13" t="s">
        <v>69</v>
      </c>
    </row>
    <row r="14" ht="17.1" customHeight="1" spans="1:10">
      <c r="A14" s="10" t="s">
        <v>102</v>
      </c>
      <c r="B14" s="10" t="s">
        <v>103</v>
      </c>
      <c r="C14" s="10" t="s">
        <v>104</v>
      </c>
      <c r="D14" s="10" t="s">
        <v>105</v>
      </c>
      <c r="E14" s="10" t="s">
        <v>106</v>
      </c>
      <c r="F14" s="11">
        <v>260</v>
      </c>
      <c r="G14" s="11">
        <v>95</v>
      </c>
      <c r="H14" s="11">
        <f t="shared" si="0"/>
        <v>165</v>
      </c>
      <c r="I14" s="12">
        <f t="shared" si="1"/>
        <v>0.634615384615385</v>
      </c>
      <c r="J14" s="10" t="s">
        <v>107</v>
      </c>
    </row>
    <row r="15" ht="20.1" customHeight="1" spans="1:10">
      <c r="A15" s="1" t="s">
        <v>108</v>
      </c>
      <c r="B15" s="2"/>
      <c r="C15" s="2"/>
      <c r="D15" s="2"/>
      <c r="E15" s="2"/>
      <c r="F15" s="17">
        <f>SUM(F5:F14)</f>
        <v>1640</v>
      </c>
      <c r="G15" s="17">
        <f>SUM(G5:G14)</f>
        <v>575</v>
      </c>
      <c r="H15" s="17">
        <f>SUM(H5:H14)</f>
        <v>1065</v>
      </c>
      <c r="I15" s="18">
        <f>AVERAGE(I5:I14)</f>
        <v>0.649540956119903</v>
      </c>
      <c r="J15" s="2"/>
    </row>
    <row r="17" spans="1:2">
      <c r="A17" s="13" t="s">
        <v>109</v>
      </c>
      <c r="B17" s="28" t="s">
        <v>110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28B22"/>
  </sheetPr>
  <dimension ref="A1:H34"/>
  <sheetViews>
    <sheetView workbookViewId="0">
      <selection activeCell="A1" sqref="A1"/>
    </sheetView>
  </sheetViews>
  <sheetFormatPr defaultColWidth="11" defaultRowHeight="15" outlineLevelCol="7"/>
  <cols>
    <col min="1" max="1" width="8.71428571428571" customWidth="1"/>
    <col min="2" max="2" width="34.7142857142857" customWidth="1"/>
    <col min="3" max="3" width="10.7142857142857" customWidth="1"/>
    <col min="4" max="4" width="13.7142857142857" customWidth="1"/>
    <col min="5" max="6" width="10.7142857142857" customWidth="1"/>
    <col min="7" max="7" width="22.7142857142857" customWidth="1"/>
    <col min="8" max="8" width="12.7142857142857" customWidth="1"/>
  </cols>
  <sheetData>
    <row r="1" ht="20.1" customHeight="1" spans="1:8">
      <c r="A1" s="1" t="s">
        <v>111</v>
      </c>
      <c r="B1" s="2"/>
      <c r="C1" s="2"/>
      <c r="D1" s="2"/>
      <c r="E1" s="2"/>
      <c r="F1" s="2"/>
      <c r="G1" s="2"/>
      <c r="H1" s="2"/>
    </row>
    <row r="2" ht="20.1" customHeight="1" spans="1:8">
      <c r="A2" s="15" t="s">
        <v>112</v>
      </c>
      <c r="B2" s="16"/>
      <c r="C2" s="16"/>
      <c r="D2" s="16"/>
      <c r="E2" s="16"/>
      <c r="F2" s="16"/>
      <c r="G2" s="16"/>
      <c r="H2" s="16"/>
    </row>
    <row r="4" ht="27.95" customHeight="1" spans="1:8">
      <c r="A4" s="7" t="s">
        <v>49</v>
      </c>
      <c r="B4" s="7" t="s">
        <v>113</v>
      </c>
      <c r="C4" s="7" t="s">
        <v>114</v>
      </c>
      <c r="D4" s="7" t="s">
        <v>115</v>
      </c>
      <c r="E4" s="7" t="s">
        <v>116</v>
      </c>
      <c r="F4" s="7" t="s">
        <v>117</v>
      </c>
      <c r="G4" s="7" t="s">
        <v>118</v>
      </c>
      <c r="H4" s="7" t="s">
        <v>7</v>
      </c>
    </row>
    <row r="5" ht="20.1" customHeight="1" spans="1:8">
      <c r="A5" s="24" t="s">
        <v>119</v>
      </c>
      <c r="B5" s="25"/>
      <c r="C5" s="25"/>
      <c r="D5" s="25"/>
      <c r="E5" s="25"/>
      <c r="F5" s="25"/>
      <c r="G5" s="25"/>
      <c r="H5" s="25"/>
    </row>
    <row r="6" ht="17.1" customHeight="1" spans="1:8">
      <c r="A6" s="10" t="s">
        <v>120</v>
      </c>
      <c r="B6" s="10" t="s">
        <v>121</v>
      </c>
      <c r="C6" s="10" t="s">
        <v>122</v>
      </c>
      <c r="D6" s="11">
        <v>8.5</v>
      </c>
      <c r="E6" s="10">
        <v>200</v>
      </c>
      <c r="F6" s="10">
        <v>50</v>
      </c>
      <c r="G6" s="10" t="s">
        <v>123</v>
      </c>
      <c r="H6" s="10" t="str">
        <f t="shared" ref="H6:H16" si="0">IF(E6&lt;=F6,"REPONER","OK")</f>
        <v>OK</v>
      </c>
    </row>
    <row r="7" ht="17.1" customHeight="1" spans="1:8">
      <c r="A7" t="s">
        <v>124</v>
      </c>
      <c r="B7" t="s">
        <v>125</v>
      </c>
      <c r="C7" t="s">
        <v>122</v>
      </c>
      <c r="D7" s="8">
        <v>7</v>
      </c>
      <c r="E7">
        <v>100</v>
      </c>
      <c r="F7">
        <v>30</v>
      </c>
      <c r="G7" t="s">
        <v>123</v>
      </c>
      <c r="H7" t="str">
        <f t="shared" si="0"/>
        <v>OK</v>
      </c>
    </row>
    <row r="8" ht="17.1" customHeight="1" spans="1:8">
      <c r="A8" s="10" t="s">
        <v>126</v>
      </c>
      <c r="B8" s="10" t="s">
        <v>127</v>
      </c>
      <c r="C8" s="10" t="s">
        <v>122</v>
      </c>
      <c r="D8" s="11">
        <v>6</v>
      </c>
      <c r="E8" s="10">
        <v>150</v>
      </c>
      <c r="F8" s="10">
        <v>50</v>
      </c>
      <c r="G8" s="10" t="s">
        <v>128</v>
      </c>
      <c r="H8" s="10" t="str">
        <f t="shared" si="0"/>
        <v>OK</v>
      </c>
    </row>
    <row r="9" ht="17.1" customHeight="1" spans="1:8">
      <c r="A9" t="s">
        <v>129</v>
      </c>
      <c r="B9" t="s">
        <v>130</v>
      </c>
      <c r="C9" t="s">
        <v>122</v>
      </c>
      <c r="D9" s="8">
        <v>5.5</v>
      </c>
      <c r="E9">
        <v>100</v>
      </c>
      <c r="F9">
        <v>40</v>
      </c>
      <c r="G9" t="s">
        <v>128</v>
      </c>
      <c r="H9" t="str">
        <f t="shared" si="0"/>
        <v>OK</v>
      </c>
    </row>
    <row r="10" ht="17.1" customHeight="1" spans="1:8">
      <c r="A10" s="10" t="s">
        <v>131</v>
      </c>
      <c r="B10" s="10" t="s">
        <v>132</v>
      </c>
      <c r="C10" s="10" t="s">
        <v>122</v>
      </c>
      <c r="D10" s="11">
        <v>12</v>
      </c>
      <c r="E10" s="10">
        <v>80</v>
      </c>
      <c r="F10" s="10">
        <v>20</v>
      </c>
      <c r="G10" s="10" t="s">
        <v>133</v>
      </c>
      <c r="H10" s="10" t="str">
        <f t="shared" si="0"/>
        <v>OK</v>
      </c>
    </row>
    <row r="11" ht="17.1" customHeight="1" spans="1:8">
      <c r="A11" t="s">
        <v>134</v>
      </c>
      <c r="B11" t="s">
        <v>135</v>
      </c>
      <c r="C11" t="s">
        <v>122</v>
      </c>
      <c r="D11" s="8">
        <v>9</v>
      </c>
      <c r="E11">
        <v>60</v>
      </c>
      <c r="F11">
        <v>15</v>
      </c>
      <c r="G11" t="s">
        <v>133</v>
      </c>
      <c r="H11" t="str">
        <f t="shared" si="0"/>
        <v>OK</v>
      </c>
    </row>
    <row r="12" ht="17.1" customHeight="1" spans="1:8">
      <c r="A12" s="10" t="s">
        <v>136</v>
      </c>
      <c r="B12" s="10" t="s">
        <v>137</v>
      </c>
      <c r="C12" s="10" t="s">
        <v>122</v>
      </c>
      <c r="D12" s="11">
        <v>14</v>
      </c>
      <c r="E12" s="10">
        <v>40</v>
      </c>
      <c r="F12" s="10">
        <v>10</v>
      </c>
      <c r="G12" s="10" t="s">
        <v>133</v>
      </c>
      <c r="H12" s="10" t="str">
        <f t="shared" si="0"/>
        <v>OK</v>
      </c>
    </row>
    <row r="13" ht="17.1" customHeight="1" spans="1:8">
      <c r="A13" t="s">
        <v>138</v>
      </c>
      <c r="B13" t="s">
        <v>139</v>
      </c>
      <c r="C13" t="s">
        <v>140</v>
      </c>
      <c r="D13" s="8">
        <v>45</v>
      </c>
      <c r="E13">
        <v>4</v>
      </c>
      <c r="F13">
        <v>2</v>
      </c>
      <c r="G13" t="s">
        <v>141</v>
      </c>
      <c r="H13" t="str">
        <f t="shared" si="0"/>
        <v>OK</v>
      </c>
    </row>
    <row r="14" ht="17.1" customHeight="1" spans="1:8">
      <c r="A14" s="10" t="s">
        <v>142</v>
      </c>
      <c r="B14" s="10" t="s">
        <v>143</v>
      </c>
      <c r="C14" s="10" t="s">
        <v>140</v>
      </c>
      <c r="D14" s="11">
        <v>45</v>
      </c>
      <c r="E14" s="10">
        <v>2</v>
      </c>
      <c r="F14" s="10">
        <v>1</v>
      </c>
      <c r="G14" s="10" t="s">
        <v>141</v>
      </c>
      <c r="H14" s="10" t="str">
        <f t="shared" si="0"/>
        <v>OK</v>
      </c>
    </row>
    <row r="15" ht="17.1" customHeight="1" spans="1:8">
      <c r="A15" t="s">
        <v>144</v>
      </c>
      <c r="B15" t="s">
        <v>145</v>
      </c>
      <c r="C15" t="s">
        <v>140</v>
      </c>
      <c r="D15" s="8">
        <v>45</v>
      </c>
      <c r="E15">
        <v>2</v>
      </c>
      <c r="F15">
        <v>1</v>
      </c>
      <c r="G15" t="s">
        <v>141</v>
      </c>
      <c r="H15" t="str">
        <f t="shared" si="0"/>
        <v>OK</v>
      </c>
    </row>
    <row r="16" ht="17.1" customHeight="1" spans="1:8">
      <c r="A16" s="10" t="s">
        <v>146</v>
      </c>
      <c r="B16" s="10" t="s">
        <v>147</v>
      </c>
      <c r="C16" s="10" t="s">
        <v>140</v>
      </c>
      <c r="D16" s="11">
        <v>45</v>
      </c>
      <c r="E16" s="10">
        <v>2</v>
      </c>
      <c r="F16" s="10">
        <v>1</v>
      </c>
      <c r="G16" s="10" t="s">
        <v>141</v>
      </c>
      <c r="H16" s="10" t="str">
        <f t="shared" si="0"/>
        <v>OK</v>
      </c>
    </row>
    <row r="18" ht="20.1" customHeight="1" spans="1:8">
      <c r="A18" s="3" t="s">
        <v>148</v>
      </c>
      <c r="B18" s="4"/>
      <c r="C18" s="4"/>
      <c r="D18" s="4"/>
      <c r="E18" s="4"/>
      <c r="F18" s="4"/>
      <c r="G18" s="4"/>
      <c r="H18" s="4"/>
    </row>
    <row r="19" ht="17.1" customHeight="1" spans="1:8">
      <c r="A19" t="s">
        <v>149</v>
      </c>
      <c r="B19" t="s">
        <v>150</v>
      </c>
      <c r="C19" t="s">
        <v>151</v>
      </c>
      <c r="D19" s="8">
        <v>20</v>
      </c>
      <c r="E19">
        <v>8</v>
      </c>
      <c r="F19">
        <v>3</v>
      </c>
      <c r="G19" t="s">
        <v>128</v>
      </c>
      <c r="H19" t="str">
        <f t="shared" ref="H19:H24" si="1">IF(E19&lt;=F19,"REPONER","OK")</f>
        <v>OK</v>
      </c>
    </row>
    <row r="20" ht="17.1" customHeight="1" spans="1:8">
      <c r="A20" s="10" t="s">
        <v>152</v>
      </c>
      <c r="B20" s="10" t="s">
        <v>153</v>
      </c>
      <c r="C20" s="10" t="s">
        <v>154</v>
      </c>
      <c r="D20" s="11">
        <v>18</v>
      </c>
      <c r="E20" s="10">
        <v>5</v>
      </c>
      <c r="F20" s="10">
        <v>2</v>
      </c>
      <c r="G20" s="10" t="s">
        <v>155</v>
      </c>
      <c r="H20" s="10" t="str">
        <f t="shared" si="1"/>
        <v>OK</v>
      </c>
    </row>
    <row r="21" ht="17.1" customHeight="1" spans="1:8">
      <c r="A21" t="s">
        <v>156</v>
      </c>
      <c r="B21" t="s">
        <v>157</v>
      </c>
      <c r="C21" t="s">
        <v>122</v>
      </c>
      <c r="D21" s="8">
        <v>4.5</v>
      </c>
      <c r="E21">
        <v>100</v>
      </c>
      <c r="F21">
        <v>30</v>
      </c>
      <c r="G21" t="s">
        <v>133</v>
      </c>
      <c r="H21" t="str">
        <f t="shared" si="1"/>
        <v>OK</v>
      </c>
    </row>
    <row r="22" ht="17.1" customHeight="1" spans="1:8">
      <c r="A22" s="10" t="s">
        <v>158</v>
      </c>
      <c r="B22" s="10" t="s">
        <v>159</v>
      </c>
      <c r="C22" s="10" t="s">
        <v>122</v>
      </c>
      <c r="D22" s="11">
        <v>4.5</v>
      </c>
      <c r="E22" s="10">
        <v>80</v>
      </c>
      <c r="F22" s="10">
        <v>25</v>
      </c>
      <c r="G22" s="10" t="s">
        <v>133</v>
      </c>
      <c r="H22" s="10" t="str">
        <f t="shared" si="1"/>
        <v>OK</v>
      </c>
    </row>
    <row r="23" ht="17.1" customHeight="1" spans="1:8">
      <c r="A23" t="s">
        <v>160</v>
      </c>
      <c r="B23" t="s">
        <v>161</v>
      </c>
      <c r="C23" t="s">
        <v>162</v>
      </c>
      <c r="D23" s="8">
        <v>85</v>
      </c>
      <c r="E23">
        <v>2</v>
      </c>
      <c r="F23">
        <v>1</v>
      </c>
      <c r="G23" t="s">
        <v>163</v>
      </c>
      <c r="H23" t="str">
        <f t="shared" si="1"/>
        <v>OK</v>
      </c>
    </row>
    <row r="24" ht="17.1" customHeight="1" spans="1:8">
      <c r="A24" s="10" t="s">
        <v>164</v>
      </c>
      <c r="B24" s="10" t="s">
        <v>165</v>
      </c>
      <c r="C24" s="10" t="s">
        <v>166</v>
      </c>
      <c r="D24" s="11">
        <v>25</v>
      </c>
      <c r="E24" s="10">
        <v>4</v>
      </c>
      <c r="F24" s="10">
        <v>2</v>
      </c>
      <c r="G24" s="10" t="s">
        <v>155</v>
      </c>
      <c r="H24" s="10" t="str">
        <f t="shared" si="1"/>
        <v>OK</v>
      </c>
    </row>
    <row r="26" ht="20.1" customHeight="1" spans="1:8">
      <c r="A26" s="20" t="s">
        <v>167</v>
      </c>
      <c r="B26" s="21"/>
      <c r="C26" s="21"/>
      <c r="D26" s="21"/>
      <c r="E26" s="21"/>
      <c r="F26" s="21"/>
      <c r="G26" s="21"/>
      <c r="H26" s="21"/>
    </row>
    <row r="27" ht="17.1" customHeight="1" spans="1:8">
      <c r="A27" t="s">
        <v>168</v>
      </c>
      <c r="B27" t="s">
        <v>169</v>
      </c>
      <c r="C27" t="s">
        <v>151</v>
      </c>
      <c r="D27" s="8">
        <v>65</v>
      </c>
      <c r="E27">
        <v>5</v>
      </c>
      <c r="F27">
        <v>2</v>
      </c>
      <c r="G27" t="s">
        <v>170</v>
      </c>
      <c r="H27" t="str">
        <f>IF(E27&lt;=F27,"REPONER","OK")</f>
        <v>OK</v>
      </c>
    </row>
    <row r="28" ht="17.1" customHeight="1" spans="1:8">
      <c r="A28" s="10" t="s">
        <v>171</v>
      </c>
      <c r="B28" s="10" t="s">
        <v>172</v>
      </c>
      <c r="C28" s="10" t="s">
        <v>162</v>
      </c>
      <c r="D28" s="11">
        <v>35</v>
      </c>
      <c r="E28" s="10">
        <v>6</v>
      </c>
      <c r="F28" s="10">
        <v>3</v>
      </c>
      <c r="G28" s="10" t="s">
        <v>173</v>
      </c>
      <c r="H28" s="10" t="str">
        <f>IF(E28&lt;=F28,"REPONER","OK")</f>
        <v>OK</v>
      </c>
    </row>
    <row r="29" ht="17.1" customHeight="1" spans="1:8">
      <c r="A29" t="s">
        <v>174</v>
      </c>
      <c r="B29" t="s">
        <v>175</v>
      </c>
      <c r="C29" t="s">
        <v>162</v>
      </c>
      <c r="D29" s="8">
        <v>28</v>
      </c>
      <c r="E29">
        <v>4</v>
      </c>
      <c r="F29">
        <v>2</v>
      </c>
      <c r="G29" t="s">
        <v>176</v>
      </c>
      <c r="H29" t="str">
        <f>IF(E29&lt;=F29,"REPONER","OK")</f>
        <v>OK</v>
      </c>
    </row>
    <row r="30" ht="17.1" customHeight="1" spans="1:8">
      <c r="A30" s="10" t="s">
        <v>177</v>
      </c>
      <c r="B30" s="10" t="s">
        <v>178</v>
      </c>
      <c r="C30" s="10" t="s">
        <v>179</v>
      </c>
      <c r="D30" s="11">
        <v>22</v>
      </c>
      <c r="E30" s="10">
        <v>5</v>
      </c>
      <c r="F30" s="10">
        <v>2</v>
      </c>
      <c r="G30" s="10" t="s">
        <v>176</v>
      </c>
      <c r="H30" s="10" t="str">
        <f>IF(E30&lt;=F30,"REPONER","OK")</f>
        <v>OK</v>
      </c>
    </row>
    <row r="32" ht="20.1" customHeight="1" spans="1:8">
      <c r="A32" s="5" t="s">
        <v>180</v>
      </c>
      <c r="B32" s="6"/>
      <c r="C32" s="6"/>
      <c r="D32" s="6"/>
      <c r="E32" s="6"/>
      <c r="F32" s="6"/>
      <c r="G32" s="6"/>
      <c r="H32" s="6"/>
    </row>
    <row r="33" ht="17.1" customHeight="1" spans="1:8">
      <c r="A33" t="s">
        <v>181</v>
      </c>
      <c r="B33" t="s">
        <v>182</v>
      </c>
      <c r="C33" t="s">
        <v>151</v>
      </c>
      <c r="D33" s="8">
        <v>28</v>
      </c>
      <c r="E33">
        <v>10</v>
      </c>
      <c r="F33">
        <v>4</v>
      </c>
      <c r="G33" t="s">
        <v>128</v>
      </c>
      <c r="H33" t="str">
        <f>IF(E33&lt;=F33,"REPONER","OK")</f>
        <v>OK</v>
      </c>
    </row>
    <row r="34" ht="17.1" customHeight="1" spans="1:8">
      <c r="A34" s="10" t="s">
        <v>183</v>
      </c>
      <c r="B34" s="10" t="s">
        <v>184</v>
      </c>
      <c r="C34" s="10" t="s">
        <v>151</v>
      </c>
      <c r="D34" s="11">
        <v>35</v>
      </c>
      <c r="E34" s="10">
        <v>5</v>
      </c>
      <c r="F34" s="10">
        <v>2</v>
      </c>
      <c r="G34" s="10" t="s">
        <v>128</v>
      </c>
      <c r="H34" s="10" t="str">
        <f>IF(E34&lt;=F34,"REPONER","OK")</f>
        <v>OK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85D04"/>
  </sheetPr>
  <dimension ref="A1:F30"/>
  <sheetViews>
    <sheetView workbookViewId="0">
      <selection activeCell="A1" sqref="A1"/>
    </sheetView>
  </sheetViews>
  <sheetFormatPr defaultColWidth="11" defaultRowHeight="15" outlineLevelCol="5"/>
  <cols>
    <col min="1" max="1" width="8.71428571428571" customWidth="1"/>
    <col min="2" max="2" width="36.7142857142857" customWidth="1"/>
    <col min="3" max="3" width="12.7142857142857" customWidth="1"/>
    <col min="4" max="4" width="14.7142857142857" customWidth="1"/>
    <col min="5" max="5" width="16.7142857142857" customWidth="1"/>
    <col min="6" max="6" width="22.7142857142857" customWidth="1"/>
  </cols>
  <sheetData>
    <row r="1" ht="20.1" customHeight="1" spans="1:6">
      <c r="A1" s="1" t="s">
        <v>185</v>
      </c>
      <c r="B1" s="2"/>
      <c r="C1" s="2"/>
      <c r="D1" s="2"/>
      <c r="E1" s="2"/>
      <c r="F1" s="2"/>
    </row>
    <row r="2" ht="20.1" customHeight="1" spans="1:6">
      <c r="A2" s="3" t="s">
        <v>186</v>
      </c>
      <c r="B2" s="4"/>
      <c r="C2" s="4"/>
      <c r="D2" s="4"/>
      <c r="E2" s="4"/>
      <c r="F2" s="4"/>
    </row>
    <row r="4" ht="27.95" customHeight="1" spans="1:6">
      <c r="A4" s="7" t="s">
        <v>49</v>
      </c>
      <c r="B4" s="7" t="s">
        <v>187</v>
      </c>
      <c r="C4" s="7" t="s">
        <v>188</v>
      </c>
      <c r="D4" s="7" t="s">
        <v>189</v>
      </c>
      <c r="E4" s="7" t="s">
        <v>190</v>
      </c>
      <c r="F4" s="7" t="s">
        <v>191</v>
      </c>
    </row>
    <row r="5" ht="17.1" customHeight="1" spans="1:6">
      <c r="A5" t="s">
        <v>192</v>
      </c>
      <c r="B5" t="s">
        <v>193</v>
      </c>
      <c r="C5">
        <v>45</v>
      </c>
      <c r="D5" s="8">
        <v>39</v>
      </c>
      <c r="E5" s="8">
        <f t="shared" ref="E5:E16" si="0">C5*D5</f>
        <v>1755</v>
      </c>
      <c r="F5" t="s">
        <v>194</v>
      </c>
    </row>
    <row r="6" ht="17.1" customHeight="1" spans="1:6">
      <c r="A6" s="10" t="s">
        <v>195</v>
      </c>
      <c r="B6" s="10" t="s">
        <v>196</v>
      </c>
      <c r="C6" s="10">
        <v>20</v>
      </c>
      <c r="D6" s="11">
        <v>39</v>
      </c>
      <c r="E6" s="11">
        <f t="shared" si="0"/>
        <v>780</v>
      </c>
      <c r="F6" s="10" t="s">
        <v>197</v>
      </c>
    </row>
    <row r="7" ht="17.1" customHeight="1" spans="1:6">
      <c r="A7" t="s">
        <v>198</v>
      </c>
      <c r="B7" t="s">
        <v>199</v>
      </c>
      <c r="C7">
        <v>30</v>
      </c>
      <c r="D7" s="8">
        <v>39</v>
      </c>
      <c r="E7" s="8">
        <f t="shared" si="0"/>
        <v>1170</v>
      </c>
      <c r="F7" t="s">
        <v>200</v>
      </c>
    </row>
    <row r="8" ht="17.1" customHeight="1" spans="1:6">
      <c r="A8" s="10" t="s">
        <v>201</v>
      </c>
      <c r="B8" s="10" t="s">
        <v>202</v>
      </c>
      <c r="C8" s="10">
        <v>20</v>
      </c>
      <c r="D8" s="11">
        <v>39</v>
      </c>
      <c r="E8" s="11">
        <f t="shared" si="0"/>
        <v>780</v>
      </c>
      <c r="F8" s="10" t="s">
        <v>203</v>
      </c>
    </row>
    <row r="9" ht="17.1" customHeight="1" spans="1:6">
      <c r="A9" t="s">
        <v>204</v>
      </c>
      <c r="B9" t="s">
        <v>205</v>
      </c>
      <c r="C9">
        <v>20</v>
      </c>
      <c r="D9" s="8">
        <v>39</v>
      </c>
      <c r="E9" s="8">
        <f t="shared" si="0"/>
        <v>780</v>
      </c>
      <c r="F9" t="s">
        <v>206</v>
      </c>
    </row>
    <row r="10" ht="17.1" customHeight="1" spans="1:6">
      <c r="A10" s="10" t="s">
        <v>207</v>
      </c>
      <c r="B10" s="10" t="s">
        <v>208</v>
      </c>
      <c r="C10" s="10">
        <v>15</v>
      </c>
      <c r="D10" s="11">
        <v>39</v>
      </c>
      <c r="E10" s="11">
        <f t="shared" si="0"/>
        <v>585</v>
      </c>
      <c r="F10" s="10" t="s">
        <v>209</v>
      </c>
    </row>
    <row r="11" ht="17.1" customHeight="1" spans="1:6">
      <c r="A11" t="s">
        <v>210</v>
      </c>
      <c r="B11" t="s">
        <v>211</v>
      </c>
      <c r="C11">
        <v>15</v>
      </c>
      <c r="D11" s="8">
        <v>39</v>
      </c>
      <c r="E11" s="8">
        <f t="shared" si="0"/>
        <v>585</v>
      </c>
      <c r="F11" t="s">
        <v>212</v>
      </c>
    </row>
    <row r="12" ht="17.1" customHeight="1" spans="1:6">
      <c r="A12" s="10" t="s">
        <v>213</v>
      </c>
      <c r="B12" s="10" t="s">
        <v>214</v>
      </c>
      <c r="C12" s="10">
        <v>20</v>
      </c>
      <c r="D12" s="11">
        <v>39</v>
      </c>
      <c r="E12" s="11">
        <f t="shared" si="0"/>
        <v>780</v>
      </c>
      <c r="F12" s="10" t="s">
        <v>215</v>
      </c>
    </row>
    <row r="13" ht="17.1" customHeight="1" spans="1:6">
      <c r="A13" t="s">
        <v>216</v>
      </c>
      <c r="B13" t="s">
        <v>217</v>
      </c>
      <c r="C13">
        <v>15</v>
      </c>
      <c r="D13" s="8">
        <v>39</v>
      </c>
      <c r="E13" s="8">
        <f t="shared" si="0"/>
        <v>585</v>
      </c>
      <c r="F13" t="s">
        <v>218</v>
      </c>
    </row>
    <row r="14" ht="17.1" customHeight="1" spans="1:6">
      <c r="A14" s="10" t="s">
        <v>219</v>
      </c>
      <c r="B14" s="10" t="s">
        <v>220</v>
      </c>
      <c r="C14" s="10">
        <v>30</v>
      </c>
      <c r="D14" s="11">
        <v>39</v>
      </c>
      <c r="E14" s="11">
        <f t="shared" si="0"/>
        <v>1170</v>
      </c>
      <c r="F14" s="10" t="s">
        <v>221</v>
      </c>
    </row>
    <row r="15" ht="17.1" customHeight="1" spans="1:6">
      <c r="A15" t="s">
        <v>222</v>
      </c>
      <c r="B15" t="s">
        <v>223</v>
      </c>
      <c r="C15">
        <v>25</v>
      </c>
      <c r="D15" s="8">
        <v>39</v>
      </c>
      <c r="E15" s="8">
        <f t="shared" si="0"/>
        <v>975</v>
      </c>
      <c r="F15" t="s">
        <v>224</v>
      </c>
    </row>
    <row r="16" ht="17.1" customHeight="1" spans="1:6">
      <c r="A16" s="10" t="s">
        <v>225</v>
      </c>
      <c r="B16" s="10" t="s">
        <v>226</v>
      </c>
      <c r="C16" s="10">
        <v>10</v>
      </c>
      <c r="D16" s="11">
        <v>39</v>
      </c>
      <c r="E16" s="11">
        <f t="shared" si="0"/>
        <v>390</v>
      </c>
      <c r="F16" s="10" t="s">
        <v>227</v>
      </c>
    </row>
    <row r="17" ht="20.1" customHeight="1" spans="1:6">
      <c r="A17" s="1" t="s">
        <v>228</v>
      </c>
      <c r="B17" s="2"/>
      <c r="C17" s="2"/>
      <c r="D17" s="2"/>
      <c r="E17" s="17">
        <f>SUM(E5:E16)</f>
        <v>10335</v>
      </c>
      <c r="F17" s="2"/>
    </row>
    <row r="19" ht="20.1" customHeight="1" spans="1:6">
      <c r="A19" s="24" t="s">
        <v>229</v>
      </c>
      <c r="B19" s="25"/>
      <c r="C19" s="25"/>
      <c r="D19" s="25"/>
      <c r="E19" s="25"/>
      <c r="F19" s="25"/>
    </row>
    <row r="20" ht="27.95" customHeight="1" spans="1:6">
      <c r="A20" s="7" t="s">
        <v>49</v>
      </c>
      <c r="B20" s="7" t="s">
        <v>230</v>
      </c>
      <c r="C20" s="7"/>
      <c r="D20" s="7" t="s">
        <v>231</v>
      </c>
      <c r="E20" s="7"/>
      <c r="F20" s="7" t="s">
        <v>191</v>
      </c>
    </row>
    <row r="21" ht="17.1" customHeight="1" spans="1:6">
      <c r="A21" t="s">
        <v>232</v>
      </c>
      <c r="B21" t="s">
        <v>233</v>
      </c>
      <c r="D21" s="8">
        <v>150</v>
      </c>
      <c r="F21" t="s">
        <v>234</v>
      </c>
    </row>
    <row r="22" ht="17.1" customHeight="1" spans="1:6">
      <c r="A22" s="10" t="s">
        <v>235</v>
      </c>
      <c r="B22" s="10" t="s">
        <v>236</v>
      </c>
      <c r="C22" s="10"/>
      <c r="D22" s="11">
        <v>80</v>
      </c>
      <c r="E22" s="10"/>
      <c r="F22" s="10" t="s">
        <v>237</v>
      </c>
    </row>
    <row r="23" ht="17.1" customHeight="1" spans="1:6">
      <c r="A23" t="s">
        <v>238</v>
      </c>
      <c r="B23" t="s">
        <v>239</v>
      </c>
      <c r="D23" s="8">
        <v>120</v>
      </c>
      <c r="F23" t="s">
        <v>240</v>
      </c>
    </row>
    <row r="24" ht="17.1" customHeight="1" spans="1:6">
      <c r="A24" s="10" t="s">
        <v>241</v>
      </c>
      <c r="B24" s="10" t="s">
        <v>242</v>
      </c>
      <c r="C24" s="10"/>
      <c r="D24" s="11">
        <v>100</v>
      </c>
      <c r="E24" s="10"/>
      <c r="F24" s="10" t="s">
        <v>243</v>
      </c>
    </row>
    <row r="25" ht="17.1" customHeight="1" spans="1:6">
      <c r="A25" t="s">
        <v>244</v>
      </c>
      <c r="B25" t="s">
        <v>245</v>
      </c>
      <c r="D25" s="8">
        <v>50</v>
      </c>
      <c r="F25" t="s">
        <v>246</v>
      </c>
    </row>
    <row r="26" ht="17.1" customHeight="1" spans="1:6">
      <c r="A26" s="10" t="s">
        <v>247</v>
      </c>
      <c r="B26" s="10" t="s">
        <v>248</v>
      </c>
      <c r="C26" s="10"/>
      <c r="D26" s="11">
        <v>75</v>
      </c>
      <c r="E26" s="10"/>
      <c r="F26" s="10" t="s">
        <v>249</v>
      </c>
    </row>
    <row r="27" ht="17.1" customHeight="1" spans="1:6">
      <c r="A27" t="s">
        <v>250</v>
      </c>
      <c r="B27" t="s">
        <v>251</v>
      </c>
      <c r="D27" s="8">
        <v>0</v>
      </c>
      <c r="F27" t="s">
        <v>252</v>
      </c>
    </row>
    <row r="28" ht="20.1" customHeight="1" spans="1:6">
      <c r="A28" s="24" t="s">
        <v>253</v>
      </c>
      <c r="B28" s="25"/>
      <c r="C28" s="25"/>
      <c r="D28" s="26">
        <f>SUM(D21:D27)</f>
        <v>575</v>
      </c>
      <c r="E28" s="25"/>
      <c r="F28" s="25"/>
    </row>
    <row r="30" ht="20.1" customHeight="1" spans="1:6">
      <c r="A30" s="1" t="s">
        <v>254</v>
      </c>
      <c r="B30" s="2"/>
      <c r="C30" s="2"/>
      <c r="D30" s="2"/>
      <c r="E30" s="27">
        <f>E17+D28</f>
        <v>10910</v>
      </c>
      <c r="F30" s="2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41E1E"/>
  </sheetPr>
  <dimension ref="A1:I15"/>
  <sheetViews>
    <sheetView workbookViewId="0">
      <selection activeCell="A1" sqref="A1"/>
    </sheetView>
  </sheetViews>
  <sheetFormatPr defaultColWidth="11" defaultRowHeight="15"/>
  <cols>
    <col min="1" max="1" width="8.71428571428571" customWidth="1"/>
    <col min="2" max="2" width="26.7142857142857" customWidth="1"/>
    <col min="3" max="4" width="12.7142857142857" customWidth="1"/>
    <col min="5" max="5" width="10.7142857142857" customWidth="1"/>
    <col min="6" max="6" width="12.7142857142857" customWidth="1"/>
    <col min="7" max="8" width="14.7142857142857" customWidth="1"/>
    <col min="9" max="9" width="20.7142857142857" customWidth="1"/>
  </cols>
  <sheetData>
    <row r="1" ht="20.1" customHeight="1" spans="1:9">
      <c r="A1" s="1" t="s">
        <v>255</v>
      </c>
      <c r="B1" s="2"/>
      <c r="C1" s="2"/>
      <c r="D1" s="2"/>
      <c r="E1" s="2"/>
      <c r="F1" s="2"/>
      <c r="G1" s="2"/>
      <c r="H1" s="2"/>
      <c r="I1" s="2"/>
    </row>
    <row r="2" ht="20.1" customHeight="1" spans="1:9">
      <c r="A2" s="20" t="s">
        <v>256</v>
      </c>
      <c r="B2" s="21"/>
      <c r="C2" s="21"/>
      <c r="D2" s="21"/>
      <c r="E2" s="21"/>
      <c r="F2" s="21"/>
      <c r="G2" s="21"/>
      <c r="H2" s="21"/>
      <c r="I2" s="21"/>
    </row>
    <row r="3" ht="20.1" customHeight="1" spans="1:9">
      <c r="A3" s="5" t="s">
        <v>257</v>
      </c>
      <c r="B3" s="6"/>
      <c r="C3" s="6"/>
      <c r="D3" s="6"/>
      <c r="E3" s="6"/>
      <c r="F3" s="6"/>
      <c r="G3" s="6"/>
      <c r="H3" s="6"/>
      <c r="I3" s="6"/>
    </row>
    <row r="4" ht="27.95" customHeight="1" spans="1:9">
      <c r="A4" s="7" t="s">
        <v>49</v>
      </c>
      <c r="B4" s="7" t="s">
        <v>50</v>
      </c>
      <c r="C4" s="7" t="s">
        <v>258</v>
      </c>
      <c r="D4" s="7" t="s">
        <v>259</v>
      </c>
      <c r="E4" s="7" t="s">
        <v>260</v>
      </c>
      <c r="F4" s="7" t="s">
        <v>261</v>
      </c>
      <c r="G4" s="7" t="s">
        <v>262</v>
      </c>
      <c r="H4" s="7" t="s">
        <v>263</v>
      </c>
      <c r="I4" s="7" t="s">
        <v>264</v>
      </c>
    </row>
    <row r="5" ht="17.1" customHeight="1" spans="1:9">
      <c r="A5" t="s">
        <v>59</v>
      </c>
      <c r="B5" t="s">
        <v>60</v>
      </c>
      <c r="C5" s="8">
        <v>6.5</v>
      </c>
      <c r="D5" s="8">
        <v>11.25</v>
      </c>
      <c r="E5" s="8">
        <v>0.8</v>
      </c>
      <c r="F5" s="8">
        <v>0.6</v>
      </c>
      <c r="G5" s="8">
        <v>2.85</v>
      </c>
      <c r="H5" s="22">
        <f t="shared" ref="H5:H14" si="0">C5+D5+E5+F5+G5</f>
        <v>22</v>
      </c>
      <c r="I5" t="s">
        <v>265</v>
      </c>
    </row>
    <row r="6" ht="17.1" customHeight="1" spans="1:9">
      <c r="A6" s="10" t="s">
        <v>65</v>
      </c>
      <c r="B6" s="10" t="s">
        <v>66</v>
      </c>
      <c r="C6" s="11">
        <v>45</v>
      </c>
      <c r="D6" s="11">
        <v>22.5</v>
      </c>
      <c r="E6" s="11">
        <v>2.5</v>
      </c>
      <c r="F6" s="11">
        <v>5</v>
      </c>
      <c r="G6" s="11">
        <v>10</v>
      </c>
      <c r="H6" s="23">
        <f t="shared" si="0"/>
        <v>85</v>
      </c>
      <c r="I6" s="10" t="s">
        <v>266</v>
      </c>
    </row>
    <row r="7" ht="17.1" customHeight="1" spans="1:9">
      <c r="A7" t="s">
        <v>70</v>
      </c>
      <c r="B7" t="s">
        <v>267</v>
      </c>
      <c r="C7" s="8">
        <v>9</v>
      </c>
      <c r="D7" s="8">
        <v>11.25</v>
      </c>
      <c r="E7" s="8">
        <v>1.2</v>
      </c>
      <c r="F7" s="8">
        <v>1</v>
      </c>
      <c r="G7" s="8">
        <v>5.55</v>
      </c>
      <c r="H7" s="22">
        <f t="shared" si="0"/>
        <v>28</v>
      </c>
      <c r="I7" t="s">
        <v>268</v>
      </c>
    </row>
    <row r="8" ht="17.1" customHeight="1" spans="1:9">
      <c r="A8" s="10" t="s">
        <v>75</v>
      </c>
      <c r="B8" s="10" t="s">
        <v>76</v>
      </c>
      <c r="C8" s="11">
        <v>22</v>
      </c>
      <c r="D8" s="11">
        <v>18.75</v>
      </c>
      <c r="E8" s="11">
        <v>2</v>
      </c>
      <c r="F8" s="11">
        <v>2</v>
      </c>
      <c r="G8" s="11">
        <v>10.25</v>
      </c>
      <c r="H8" s="23">
        <f t="shared" si="0"/>
        <v>55</v>
      </c>
      <c r="I8" s="10" t="s">
        <v>269</v>
      </c>
    </row>
    <row r="9" ht="17.1" customHeight="1" spans="1:9">
      <c r="A9" t="s">
        <v>79</v>
      </c>
      <c r="B9" t="s">
        <v>80</v>
      </c>
      <c r="C9" s="8">
        <v>6</v>
      </c>
      <c r="D9" s="8">
        <v>5</v>
      </c>
      <c r="E9" s="8">
        <v>0.8</v>
      </c>
      <c r="F9" s="8">
        <v>0.8</v>
      </c>
      <c r="G9" s="8">
        <v>5.4</v>
      </c>
      <c r="H9" s="22">
        <f t="shared" si="0"/>
        <v>18</v>
      </c>
      <c r="I9" t="s">
        <v>270</v>
      </c>
    </row>
    <row r="10" ht="17.1" customHeight="1" spans="1:9">
      <c r="A10" s="10" t="s">
        <v>84</v>
      </c>
      <c r="B10" s="10" t="s">
        <v>85</v>
      </c>
      <c r="C10" s="11">
        <v>18</v>
      </c>
      <c r="D10" s="11">
        <v>8.75</v>
      </c>
      <c r="E10" s="11">
        <v>1.5</v>
      </c>
      <c r="F10" s="11">
        <v>1.5</v>
      </c>
      <c r="G10" s="11">
        <v>15.25</v>
      </c>
      <c r="H10" s="23">
        <f t="shared" si="0"/>
        <v>45</v>
      </c>
      <c r="I10" s="10" t="s">
        <v>271</v>
      </c>
    </row>
    <row r="11" ht="17.1" customHeight="1" spans="1:9">
      <c r="A11" t="s">
        <v>88</v>
      </c>
      <c r="B11" t="s">
        <v>89</v>
      </c>
      <c r="C11" s="8">
        <v>4</v>
      </c>
      <c r="D11" s="8">
        <v>3.75</v>
      </c>
      <c r="E11" s="8">
        <v>0.5</v>
      </c>
      <c r="F11" s="8">
        <v>0.5</v>
      </c>
      <c r="G11" s="8">
        <v>3.25</v>
      </c>
      <c r="H11" s="22">
        <f t="shared" si="0"/>
        <v>12</v>
      </c>
      <c r="I11" t="s">
        <v>272</v>
      </c>
    </row>
    <row r="12" ht="17.1" customHeight="1" spans="1:9">
      <c r="A12" s="10" t="s">
        <v>92</v>
      </c>
      <c r="B12" s="10" t="s">
        <v>93</v>
      </c>
      <c r="C12" s="11">
        <v>15</v>
      </c>
      <c r="D12" s="11">
        <v>7.5</v>
      </c>
      <c r="E12" s="11">
        <v>1.5</v>
      </c>
      <c r="F12" s="11">
        <v>2</v>
      </c>
      <c r="G12" s="11">
        <v>9</v>
      </c>
      <c r="H12" s="23">
        <f t="shared" si="0"/>
        <v>35</v>
      </c>
      <c r="I12" s="10" t="s">
        <v>273</v>
      </c>
    </row>
    <row r="13" ht="17.1" customHeight="1" spans="1:9">
      <c r="A13" t="s">
        <v>97</v>
      </c>
      <c r="B13" t="s">
        <v>98</v>
      </c>
      <c r="C13" s="8">
        <v>120</v>
      </c>
      <c r="D13" s="8">
        <v>30</v>
      </c>
      <c r="E13" s="8">
        <v>3</v>
      </c>
      <c r="F13" s="8">
        <v>5</v>
      </c>
      <c r="G13" s="8">
        <v>22</v>
      </c>
      <c r="H13" s="22">
        <f t="shared" si="0"/>
        <v>180</v>
      </c>
      <c r="I13" t="s">
        <v>274</v>
      </c>
    </row>
    <row r="14" ht="17.1" customHeight="1" spans="1:9">
      <c r="A14" s="10" t="s">
        <v>102</v>
      </c>
      <c r="B14" s="10" t="s">
        <v>103</v>
      </c>
      <c r="C14" s="11">
        <v>45</v>
      </c>
      <c r="D14" s="11">
        <v>22.5</v>
      </c>
      <c r="E14" s="11">
        <v>3</v>
      </c>
      <c r="F14" s="11">
        <v>4</v>
      </c>
      <c r="G14" s="11">
        <v>20.5</v>
      </c>
      <c r="H14" s="23">
        <f t="shared" si="0"/>
        <v>95</v>
      </c>
      <c r="I14" s="10" t="s">
        <v>275</v>
      </c>
    </row>
    <row r="15" ht="20.1" customHeight="1" spans="1:9">
      <c r="A15" s="1" t="s">
        <v>276</v>
      </c>
      <c r="B15" s="2"/>
      <c r="C15" s="17">
        <f t="shared" ref="C15:H15" si="1">SUM(C5:C14)</f>
        <v>290.5</v>
      </c>
      <c r="D15" s="17">
        <f t="shared" si="1"/>
        <v>141.25</v>
      </c>
      <c r="E15" s="17">
        <f t="shared" si="1"/>
        <v>16.8</v>
      </c>
      <c r="F15" s="17">
        <f t="shared" si="1"/>
        <v>22.4</v>
      </c>
      <c r="G15" s="17">
        <f t="shared" si="1"/>
        <v>104.05</v>
      </c>
      <c r="H15" s="17">
        <f t="shared" si="1"/>
        <v>575</v>
      </c>
      <c r="I15" s="2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28B22"/>
  </sheetPr>
  <dimension ref="A1:I17"/>
  <sheetViews>
    <sheetView workbookViewId="0">
      <selection activeCell="A1" sqref="A1"/>
    </sheetView>
  </sheetViews>
  <sheetFormatPr defaultColWidth="11" defaultRowHeight="15"/>
  <cols>
    <col min="1" max="1" width="8.71428571428571" customWidth="1"/>
    <col min="2" max="2" width="26.7142857142857" customWidth="1"/>
    <col min="3" max="5" width="13.7142857142857" customWidth="1"/>
    <col min="6" max="6" width="10.7142857142857" customWidth="1"/>
    <col min="7" max="7" width="13.7142857142857" customWidth="1"/>
    <col min="8" max="9" width="14.7142857142857" customWidth="1"/>
  </cols>
  <sheetData>
    <row r="1" ht="20.1" customHeight="1" spans="1:9">
      <c r="A1" s="1" t="s">
        <v>277</v>
      </c>
      <c r="B1" s="2"/>
      <c r="C1" s="2"/>
      <c r="D1" s="2"/>
      <c r="E1" s="2"/>
      <c r="F1" s="2"/>
      <c r="G1" s="2"/>
      <c r="H1" s="2"/>
      <c r="I1" s="2"/>
    </row>
    <row r="2" ht="20.1" customHeight="1" spans="1:9">
      <c r="A2" s="15" t="s">
        <v>278</v>
      </c>
      <c r="B2" s="16"/>
      <c r="C2" s="16"/>
      <c r="D2" s="16"/>
      <c r="E2" s="16"/>
      <c r="F2" s="16"/>
      <c r="G2" s="16"/>
      <c r="H2" s="16"/>
      <c r="I2" s="16"/>
    </row>
    <row r="3" ht="20.1" customHeight="1" spans="1:9">
      <c r="A3" s="5" t="s">
        <v>279</v>
      </c>
      <c r="B3" s="6"/>
      <c r="C3" s="6"/>
      <c r="D3" s="6"/>
      <c r="E3" s="6"/>
      <c r="F3" s="6"/>
      <c r="G3" s="6"/>
      <c r="H3" s="6"/>
      <c r="I3" s="6"/>
    </row>
    <row r="4" ht="27.95" customHeight="1" spans="1:9">
      <c r="A4" s="7" t="s">
        <v>49</v>
      </c>
      <c r="B4" s="7" t="s">
        <v>50</v>
      </c>
      <c r="C4" s="7" t="s">
        <v>54</v>
      </c>
      <c r="D4" s="7" t="s">
        <v>55</v>
      </c>
      <c r="E4" s="7" t="s">
        <v>56</v>
      </c>
      <c r="F4" s="7" t="s">
        <v>57</v>
      </c>
      <c r="G4" s="7" t="s">
        <v>280</v>
      </c>
      <c r="H4" s="7" t="s">
        <v>281</v>
      </c>
      <c r="I4" s="7" t="s">
        <v>282</v>
      </c>
    </row>
    <row r="5" ht="17.1" customHeight="1" spans="1:9">
      <c r="A5" t="s">
        <v>59</v>
      </c>
      <c r="B5" t="s">
        <v>60</v>
      </c>
      <c r="C5" s="8">
        <v>65</v>
      </c>
      <c r="D5" s="8">
        <v>22</v>
      </c>
      <c r="E5" s="8">
        <f t="shared" ref="E5:E14" si="0">C5-D5</f>
        <v>43</v>
      </c>
      <c r="F5" s="9">
        <f t="shared" ref="F5:F14" si="1">IF(C5&gt;0,(C5-D5)/C5,0)</f>
        <v>0.661538461538462</v>
      </c>
      <c r="G5" s="8">
        <f t="shared" ref="G5:G14" si="2">D5/0.4</f>
        <v>55</v>
      </c>
      <c r="H5" t="s">
        <v>283</v>
      </c>
      <c r="I5" t="str">
        <f t="shared" ref="I5:I14" si="3">IF(F5&gt;=0.65,"ALTA",IF(F5&gt;=0.45,"MEDIA","BAJA"))</f>
        <v>ALTA</v>
      </c>
    </row>
    <row r="6" ht="17.1" customHeight="1" spans="1:9">
      <c r="A6" s="10" t="s">
        <v>65</v>
      </c>
      <c r="B6" s="10" t="s">
        <v>66</v>
      </c>
      <c r="C6" s="11">
        <v>225</v>
      </c>
      <c r="D6" s="11">
        <v>85</v>
      </c>
      <c r="E6" s="11">
        <f t="shared" si="0"/>
        <v>140</v>
      </c>
      <c r="F6" s="12">
        <f t="shared" si="1"/>
        <v>0.622222222222222</v>
      </c>
      <c r="G6" s="11">
        <f t="shared" si="2"/>
        <v>212.5</v>
      </c>
      <c r="H6" s="10" t="s">
        <v>284</v>
      </c>
      <c r="I6" s="10" t="str">
        <f t="shared" si="3"/>
        <v>MEDIA</v>
      </c>
    </row>
    <row r="7" ht="17.1" customHeight="1" spans="1:9">
      <c r="A7" t="s">
        <v>70</v>
      </c>
      <c r="B7" t="s">
        <v>267</v>
      </c>
      <c r="C7" s="8">
        <v>75</v>
      </c>
      <c r="D7" s="8">
        <v>28</v>
      </c>
      <c r="E7" s="8">
        <f t="shared" si="0"/>
        <v>47</v>
      </c>
      <c r="F7" s="9">
        <f t="shared" si="1"/>
        <v>0.626666666666667</v>
      </c>
      <c r="G7" s="8">
        <f t="shared" si="2"/>
        <v>70</v>
      </c>
      <c r="H7" t="s">
        <v>285</v>
      </c>
      <c r="I7" t="str">
        <f t="shared" si="3"/>
        <v>MEDIA</v>
      </c>
    </row>
    <row r="8" ht="17.1" customHeight="1" spans="1:9">
      <c r="A8" s="10" t="s">
        <v>75</v>
      </c>
      <c r="B8" s="10" t="s">
        <v>76</v>
      </c>
      <c r="C8" s="11">
        <v>150</v>
      </c>
      <c r="D8" s="11">
        <v>55</v>
      </c>
      <c r="E8" s="11">
        <f t="shared" si="0"/>
        <v>95</v>
      </c>
      <c r="F8" s="12">
        <f t="shared" si="1"/>
        <v>0.633333333333333</v>
      </c>
      <c r="G8" s="11">
        <f t="shared" si="2"/>
        <v>137.5</v>
      </c>
      <c r="H8" s="10" t="s">
        <v>285</v>
      </c>
      <c r="I8" s="10" t="str">
        <f t="shared" si="3"/>
        <v>MEDIA</v>
      </c>
    </row>
    <row r="9" ht="17.1" customHeight="1" spans="1:9">
      <c r="A9" t="s">
        <v>79</v>
      </c>
      <c r="B9" t="s">
        <v>80</v>
      </c>
      <c r="C9" s="8">
        <v>55</v>
      </c>
      <c r="D9" s="8">
        <v>18</v>
      </c>
      <c r="E9" s="8">
        <f t="shared" si="0"/>
        <v>37</v>
      </c>
      <c r="F9" s="9">
        <f t="shared" si="1"/>
        <v>0.672727272727273</v>
      </c>
      <c r="G9" s="8">
        <f t="shared" si="2"/>
        <v>45</v>
      </c>
      <c r="H9" t="s">
        <v>283</v>
      </c>
      <c r="I9" t="str">
        <f t="shared" si="3"/>
        <v>ALTA</v>
      </c>
    </row>
    <row r="10" ht="17.1" customHeight="1" spans="1:9">
      <c r="A10" s="10" t="s">
        <v>84</v>
      </c>
      <c r="B10" s="10" t="s">
        <v>85</v>
      </c>
      <c r="C10" s="11">
        <v>125</v>
      </c>
      <c r="D10" s="11">
        <v>45</v>
      </c>
      <c r="E10" s="11">
        <f t="shared" si="0"/>
        <v>80</v>
      </c>
      <c r="F10" s="12">
        <f t="shared" si="1"/>
        <v>0.64</v>
      </c>
      <c r="G10" s="11">
        <f t="shared" si="2"/>
        <v>112.5</v>
      </c>
      <c r="H10" s="10" t="s">
        <v>283</v>
      </c>
      <c r="I10" s="10" t="str">
        <f t="shared" si="3"/>
        <v>MEDIA</v>
      </c>
    </row>
    <row r="11" ht="17.1" customHeight="1" spans="1:9">
      <c r="A11" t="s">
        <v>88</v>
      </c>
      <c r="B11" t="s">
        <v>89</v>
      </c>
      <c r="C11" s="8">
        <v>40</v>
      </c>
      <c r="D11" s="8">
        <v>12</v>
      </c>
      <c r="E11" s="8">
        <f t="shared" si="0"/>
        <v>28</v>
      </c>
      <c r="F11" s="9">
        <f t="shared" si="1"/>
        <v>0.7</v>
      </c>
      <c r="G11" s="8">
        <f t="shared" si="2"/>
        <v>30</v>
      </c>
      <c r="H11" t="s">
        <v>283</v>
      </c>
      <c r="I11" t="str">
        <f t="shared" si="3"/>
        <v>ALTA</v>
      </c>
    </row>
    <row r="12" ht="17.1" customHeight="1" spans="1:9">
      <c r="A12" s="10" t="s">
        <v>92</v>
      </c>
      <c r="B12" s="10" t="s">
        <v>93</v>
      </c>
      <c r="C12" s="11">
        <v>95</v>
      </c>
      <c r="D12" s="11">
        <v>35</v>
      </c>
      <c r="E12" s="11">
        <f t="shared" si="0"/>
        <v>60</v>
      </c>
      <c r="F12" s="12">
        <f t="shared" si="1"/>
        <v>0.631578947368421</v>
      </c>
      <c r="G12" s="11">
        <f t="shared" si="2"/>
        <v>87.5</v>
      </c>
      <c r="H12" s="10" t="s">
        <v>284</v>
      </c>
      <c r="I12" s="10" t="str">
        <f t="shared" si="3"/>
        <v>MEDIA</v>
      </c>
    </row>
    <row r="13" ht="17.1" customHeight="1" spans="1:9">
      <c r="A13" t="s">
        <v>97</v>
      </c>
      <c r="B13" t="s">
        <v>98</v>
      </c>
      <c r="C13" s="8">
        <v>550</v>
      </c>
      <c r="D13" s="8">
        <v>180</v>
      </c>
      <c r="E13" s="8">
        <f t="shared" si="0"/>
        <v>370</v>
      </c>
      <c r="F13" s="9">
        <f t="shared" si="1"/>
        <v>0.672727272727273</v>
      </c>
      <c r="G13" s="8">
        <f t="shared" si="2"/>
        <v>450</v>
      </c>
      <c r="H13" t="s">
        <v>286</v>
      </c>
      <c r="I13" t="str">
        <f t="shared" si="3"/>
        <v>ALTA</v>
      </c>
    </row>
    <row r="14" ht="17.1" customHeight="1" spans="1:9">
      <c r="A14" s="10" t="s">
        <v>102</v>
      </c>
      <c r="B14" s="10" t="s">
        <v>103</v>
      </c>
      <c r="C14" s="11">
        <v>260</v>
      </c>
      <c r="D14" s="11">
        <v>95</v>
      </c>
      <c r="E14" s="11">
        <f t="shared" si="0"/>
        <v>165</v>
      </c>
      <c r="F14" s="12">
        <f t="shared" si="1"/>
        <v>0.634615384615385</v>
      </c>
      <c r="G14" s="11">
        <f t="shared" si="2"/>
        <v>237.5</v>
      </c>
      <c r="H14" s="10" t="s">
        <v>287</v>
      </c>
      <c r="I14" s="10" t="str">
        <f t="shared" si="3"/>
        <v>MEDIA</v>
      </c>
    </row>
    <row r="15" ht="20.1" customHeight="1" spans="1:9">
      <c r="A15" s="1" t="s">
        <v>288</v>
      </c>
      <c r="B15" s="2"/>
      <c r="C15" s="17">
        <f>SUM(C5:C14)</f>
        <v>1640</v>
      </c>
      <c r="D15" s="17">
        <f>SUM(D5:D14)</f>
        <v>575</v>
      </c>
      <c r="E15" s="17">
        <f>SUM(E5:E14)</f>
        <v>1065</v>
      </c>
      <c r="F15" s="18">
        <f>AVERAGE(F5:F14)</f>
        <v>0.649540956119903</v>
      </c>
      <c r="G15" s="2"/>
      <c r="H15" s="2"/>
      <c r="I15" s="2"/>
    </row>
    <row r="17" spans="1:2">
      <c r="A17" s="13" t="s">
        <v>289</v>
      </c>
      <c r="B17" s="19" t="s">
        <v>290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85D04"/>
  </sheetPr>
  <dimension ref="A1:I19"/>
  <sheetViews>
    <sheetView tabSelected="1" workbookViewId="0">
      <selection activeCell="A1" sqref="A1"/>
    </sheetView>
  </sheetViews>
  <sheetFormatPr defaultColWidth="11" defaultRowHeight="15"/>
  <cols>
    <col min="1" max="1" width="8.71428571428571" customWidth="1"/>
    <col min="2" max="2" width="26.7142857142857" customWidth="1"/>
    <col min="3" max="3" width="13.7142857142857" customWidth="1"/>
    <col min="4" max="4" width="12.7142857142857" customWidth="1"/>
    <col min="5" max="6" width="14.7142857142857" customWidth="1"/>
    <col min="7" max="7" width="13.7142857142857" customWidth="1"/>
    <col min="8" max="9" width="16.7142857142857" customWidth="1"/>
  </cols>
  <sheetData>
    <row r="1" ht="20.1" customHeight="1" spans="1:9">
      <c r="A1" s="1" t="s">
        <v>291</v>
      </c>
      <c r="B1" s="2"/>
      <c r="C1" s="2"/>
      <c r="D1" s="2"/>
      <c r="E1" s="2"/>
      <c r="F1" s="2"/>
      <c r="G1" s="2"/>
      <c r="H1" s="2"/>
      <c r="I1" s="2"/>
    </row>
    <row r="2" ht="20.1" customHeight="1" spans="1:9">
      <c r="A2" s="3" t="s">
        <v>292</v>
      </c>
      <c r="B2" s="4"/>
      <c r="C2" s="4"/>
      <c r="D2" s="4"/>
      <c r="E2" s="4"/>
      <c r="F2" s="4"/>
      <c r="G2" s="4"/>
      <c r="H2" s="4"/>
      <c r="I2" s="4"/>
    </row>
    <row r="3" ht="20.1" customHeight="1" spans="1:9">
      <c r="A3" s="5" t="s">
        <v>293</v>
      </c>
      <c r="B3" s="6"/>
      <c r="C3" s="6"/>
      <c r="D3" s="6"/>
      <c r="E3" s="6"/>
      <c r="F3" s="6"/>
      <c r="G3" s="6"/>
      <c r="H3" s="6"/>
      <c r="I3" s="6"/>
    </row>
    <row r="4" ht="27.95" customHeight="1" spans="1:9">
      <c r="A4" s="7" t="s">
        <v>49</v>
      </c>
      <c r="B4" s="7" t="s">
        <v>50</v>
      </c>
      <c r="C4" s="7" t="s">
        <v>55</v>
      </c>
      <c r="D4" s="7" t="s">
        <v>294</v>
      </c>
      <c r="E4" s="7" t="s">
        <v>295</v>
      </c>
      <c r="F4" s="7" t="s">
        <v>296</v>
      </c>
      <c r="G4" s="7" t="s">
        <v>297</v>
      </c>
      <c r="H4" s="7" t="s">
        <v>298</v>
      </c>
      <c r="I4" s="7" t="s">
        <v>299</v>
      </c>
    </row>
    <row r="5" ht="17.1" customHeight="1" spans="1:9">
      <c r="A5" t="s">
        <v>59</v>
      </c>
      <c r="B5" t="s">
        <v>60</v>
      </c>
      <c r="C5" s="8">
        <v>22</v>
      </c>
      <c r="D5" s="9">
        <v>0.7</v>
      </c>
      <c r="E5" s="8">
        <f t="shared" ref="E5:E14" si="0">C5/(1-D5)</f>
        <v>73.3333333333333</v>
      </c>
      <c r="F5" s="8">
        <v>65</v>
      </c>
      <c r="G5" s="8">
        <f t="shared" ref="G5:G14" si="1">F5-E5</f>
        <v>-8.33333333333333</v>
      </c>
      <c r="H5" t="str">
        <f t="shared" ref="H5:H14" si="2">IF(G5&gt;5,"BAJAR PRECIO",IF(G5&lt;-5,"SUBIR PRECIO","MANTENER"))</f>
        <v>SUBIR PRECIO</v>
      </c>
      <c r="I5" t="s">
        <v>300</v>
      </c>
    </row>
    <row r="6" ht="17.1" customHeight="1" spans="1:9">
      <c r="A6" s="10" t="s">
        <v>65</v>
      </c>
      <c r="B6" s="10" t="s">
        <v>66</v>
      </c>
      <c r="C6" s="11">
        <v>85</v>
      </c>
      <c r="D6" s="12">
        <v>0.7</v>
      </c>
      <c r="E6" s="11">
        <f t="shared" si="0"/>
        <v>283.333333333333</v>
      </c>
      <c r="F6" s="11">
        <v>225</v>
      </c>
      <c r="G6" s="11">
        <f t="shared" si="1"/>
        <v>-58.3333333333333</v>
      </c>
      <c r="H6" s="10" t="str">
        <f t="shared" si="2"/>
        <v>SUBIR PRECIO</v>
      </c>
      <c r="I6" s="10" t="s">
        <v>301</v>
      </c>
    </row>
    <row r="7" ht="17.1" customHeight="1" spans="1:9">
      <c r="A7" t="s">
        <v>70</v>
      </c>
      <c r="B7" t="s">
        <v>267</v>
      </c>
      <c r="C7" s="8">
        <v>28</v>
      </c>
      <c r="D7" s="9">
        <v>0.6</v>
      </c>
      <c r="E7" s="8">
        <f t="shared" si="0"/>
        <v>70</v>
      </c>
      <c r="F7" s="8">
        <v>75</v>
      </c>
      <c r="G7" s="8">
        <f t="shared" si="1"/>
        <v>5</v>
      </c>
      <c r="H7" t="str">
        <f t="shared" si="2"/>
        <v>MANTENER</v>
      </c>
      <c r="I7" t="s">
        <v>302</v>
      </c>
    </row>
    <row r="8" ht="17.1" customHeight="1" spans="1:9">
      <c r="A8" s="10" t="s">
        <v>75</v>
      </c>
      <c r="B8" s="10" t="s">
        <v>76</v>
      </c>
      <c r="C8" s="11">
        <v>55</v>
      </c>
      <c r="D8" s="12">
        <v>0.6</v>
      </c>
      <c r="E8" s="11">
        <f t="shared" si="0"/>
        <v>137.5</v>
      </c>
      <c r="F8" s="11">
        <v>150</v>
      </c>
      <c r="G8" s="11">
        <f t="shared" si="1"/>
        <v>12.5</v>
      </c>
      <c r="H8" s="10" t="str">
        <f t="shared" si="2"/>
        <v>BAJAR PRECIO</v>
      </c>
      <c r="I8" s="10" t="s">
        <v>303</v>
      </c>
    </row>
    <row r="9" ht="17.1" customHeight="1" spans="1:9">
      <c r="A9" t="s">
        <v>79</v>
      </c>
      <c r="B9" t="s">
        <v>80</v>
      </c>
      <c r="C9" s="8">
        <v>18</v>
      </c>
      <c r="D9" s="9">
        <v>0.7</v>
      </c>
      <c r="E9" s="8">
        <f t="shared" si="0"/>
        <v>60</v>
      </c>
      <c r="F9" s="8">
        <v>55</v>
      </c>
      <c r="G9" s="8">
        <f t="shared" si="1"/>
        <v>-4.99999999999999</v>
      </c>
      <c r="H9" t="str">
        <f t="shared" si="2"/>
        <v>MANTENER</v>
      </c>
      <c r="I9" t="s">
        <v>304</v>
      </c>
    </row>
    <row r="10" ht="17.1" customHeight="1" spans="1:9">
      <c r="A10" s="10" t="s">
        <v>84</v>
      </c>
      <c r="B10" s="10" t="s">
        <v>85</v>
      </c>
      <c r="C10" s="11">
        <v>45</v>
      </c>
      <c r="D10" s="12">
        <v>0.65</v>
      </c>
      <c r="E10" s="11">
        <f t="shared" si="0"/>
        <v>128.571428571429</v>
      </c>
      <c r="F10" s="11">
        <v>125</v>
      </c>
      <c r="G10" s="11">
        <f t="shared" si="1"/>
        <v>-3.57142857142858</v>
      </c>
      <c r="H10" s="10" t="str">
        <f t="shared" si="2"/>
        <v>MANTENER</v>
      </c>
      <c r="I10" s="10" t="s">
        <v>305</v>
      </c>
    </row>
    <row r="11" ht="17.1" customHeight="1" spans="1:9">
      <c r="A11" t="s">
        <v>88</v>
      </c>
      <c r="B11" t="s">
        <v>89</v>
      </c>
      <c r="C11" s="8">
        <v>12</v>
      </c>
      <c r="D11" s="9">
        <v>0.75</v>
      </c>
      <c r="E11" s="8">
        <f t="shared" si="0"/>
        <v>48</v>
      </c>
      <c r="F11" s="8">
        <v>40</v>
      </c>
      <c r="G11" s="8">
        <f t="shared" si="1"/>
        <v>-8</v>
      </c>
      <c r="H11" t="str">
        <f t="shared" si="2"/>
        <v>SUBIR PRECIO</v>
      </c>
      <c r="I11" t="s">
        <v>306</v>
      </c>
    </row>
    <row r="12" ht="17.1" customHeight="1" spans="1:9">
      <c r="A12" s="10" t="s">
        <v>92</v>
      </c>
      <c r="B12" s="10" t="s">
        <v>93</v>
      </c>
      <c r="C12" s="11">
        <v>35</v>
      </c>
      <c r="D12" s="12">
        <v>0.65</v>
      </c>
      <c r="E12" s="11">
        <f t="shared" si="0"/>
        <v>100</v>
      </c>
      <c r="F12" s="11">
        <v>95</v>
      </c>
      <c r="G12" s="11">
        <f t="shared" si="1"/>
        <v>-5</v>
      </c>
      <c r="H12" s="10" t="str">
        <f t="shared" si="2"/>
        <v>MANTENER</v>
      </c>
      <c r="I12" s="10" t="s">
        <v>307</v>
      </c>
    </row>
    <row r="13" ht="17.1" customHeight="1" spans="1:9">
      <c r="A13" t="s">
        <v>97</v>
      </c>
      <c r="B13" t="s">
        <v>98</v>
      </c>
      <c r="C13" s="8">
        <v>180</v>
      </c>
      <c r="D13" s="9">
        <v>0.75</v>
      </c>
      <c r="E13" s="8">
        <f t="shared" si="0"/>
        <v>720</v>
      </c>
      <c r="F13" s="8">
        <v>550</v>
      </c>
      <c r="G13" s="8">
        <f t="shared" si="1"/>
        <v>-170</v>
      </c>
      <c r="H13" t="str">
        <f t="shared" si="2"/>
        <v>SUBIR PRECIO</v>
      </c>
      <c r="I13" t="s">
        <v>308</v>
      </c>
    </row>
    <row r="14" ht="17.1" customHeight="1" spans="1:9">
      <c r="A14" s="10" t="s">
        <v>102</v>
      </c>
      <c r="B14" s="10" t="s">
        <v>103</v>
      </c>
      <c r="C14" s="11">
        <v>95</v>
      </c>
      <c r="D14" s="12">
        <v>0.65</v>
      </c>
      <c r="E14" s="11">
        <f t="shared" si="0"/>
        <v>271.428571428571</v>
      </c>
      <c r="F14" s="11">
        <v>260</v>
      </c>
      <c r="G14" s="11">
        <f t="shared" si="1"/>
        <v>-11.4285714285714</v>
      </c>
      <c r="H14" s="10" t="str">
        <f t="shared" si="2"/>
        <v>SUBIR PRECIO</v>
      </c>
      <c r="I14" s="10" t="s">
        <v>309</v>
      </c>
    </row>
    <row r="16" ht="20.1" customHeight="1" spans="1:9">
      <c r="A16" s="1" t="s">
        <v>310</v>
      </c>
      <c r="B16" s="2"/>
      <c r="C16" s="2"/>
      <c r="D16" s="2"/>
      <c r="E16" s="2"/>
      <c r="F16" s="2"/>
      <c r="G16" s="2"/>
      <c r="H16" s="2"/>
      <c r="I16" s="2"/>
    </row>
    <row r="17" spans="1:2">
      <c r="A17" s="13" t="s">
        <v>311</v>
      </c>
      <c r="B17" t="s">
        <v>312</v>
      </c>
    </row>
    <row r="18" spans="1:2">
      <c r="A18" s="13" t="s">
        <v>313</v>
      </c>
      <c r="B18" t="s">
        <v>314</v>
      </c>
    </row>
    <row r="19" spans="1:2">
      <c r="A19" s="14" t="s">
        <v>315</v>
      </c>
      <c r="B19" s="14" t="s">
        <v>316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DASHBOARD</vt:lpstr>
      <vt:lpstr>PRODUCTOS</vt:lpstr>
      <vt:lpstr>MATERIAS-PRIMAS</vt:lpstr>
      <vt:lpstr>MANO-DE-OBRA</vt:lpstr>
      <vt:lpstr>COSTOS</vt:lpstr>
      <vt:lpstr>MARGEN</vt:lpstr>
      <vt:lpstr>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Francks</dc:creator>
  <cp:lastModifiedBy>PC Francks</cp:lastModifiedBy>
  <dcterms:created xsi:type="dcterms:W3CDTF">2026-06-21T03:19:00Z</dcterms:created>
  <dcterms:modified xsi:type="dcterms:W3CDTF">2026-06-22T17:10:18Z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459E668ADAAF4948AEE8BB423F14BC0D_12</vt:lpwstr>
  </property>
  <property fmtid="{D5CDD505-2E9C-101B-9397-08002B2CF9AE}" pid="3" name="KSOProductBuildVer">
    <vt:lpwstr>3082-12.2.0.22549</vt:lpwstr>
  </property>
</Properties>
</file>