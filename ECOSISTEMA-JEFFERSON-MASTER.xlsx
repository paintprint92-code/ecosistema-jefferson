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00" windowHeight="7770" tabRatio="935" activeTab="7"/>
  </bookViews>
  <sheets>
    <sheet name="01_PANEL_GENERAL" sheetId="1" r:id="rId1"/>
    <sheet name="02_EMPRESAS_Y_PROYECTOS" sheetId="2" r:id="rId2"/>
    <sheet name="03_PRIORIDADES" sheetId="3" r:id="rId3"/>
    <sheet name="04_FINANZAS" sheetId="4" r:id="rId4"/>
    <sheet name="05_VENTAS" sheetId="5" r:id="rId5"/>
    <sheet name="06_CLIENTES" sheetId="6" r:id="rId6"/>
    <sheet name="07_PRODUCTOS_SERVICIOS" sheetId="7" r:id="rId7"/>
    <sheet name="08_ARCHIVOS_Y_CARPETAS" sheetId="8" r:id="rId8"/>
    <sheet name="09_TAREAS" sheetId="9" r:id="rId9"/>
    <sheet name="10_DECISIONES" sheetId="10" r:id="rId10"/>
    <sheet name="11_IDEAS_FUTURAS" sheetId="11" r:id="rId11"/>
    <sheet name="12_APRENDIZAJE_IA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<sst xmlns="http://schemas.openxmlformats.org/spreadsheetml/2006/main" count="664" uniqueCount="462">
  <si>
    <t>ECOSISTEMA JEFFERSON -- PANEL DE CONTROL CENTRAL</t>
  </si>
  <si>
    <t>El Ecosistema Jefferson no es una carpeta. Es mi centro de direccion para tomar mejores decisiones, ordenar mis negocios y crecer sin perder el control.</t>
  </si>
  <si>
    <t>Vision general del ecosistema / Actualizar cada lunes / Junio 2026</t>
  </si>
  <si>
    <t/>
  </si>
  <si>
    <t>AREA / PROYECTO</t>
  </si>
  <si>
    <t>ESTADO ACTUAL</t>
  </si>
  <si>
    <t>PRIORIDAD</t>
  </si>
  <si>
    <t>OBJETIVO</t>
  </si>
  <si>
    <t>PROXIMA ACCION</t>
  </si>
  <si>
    <t>Paint Print</t>
  </si>
  <si>
    <t>ACTIVO -- Motor financiero del ecosistema</t>
  </si>
  <si>
    <t>1</t>
  </si>
  <si>
    <t>Registrar costos, ventas y crecer clientela</t>
  </si>
  <si>
    <t>Completar Excel Maestro -- luego primer cierre financiero</t>
  </si>
  <si>
    <t>Aprendizaje IA</t>
  </si>
  <si>
    <t>ACTIVO -- Meta personal continua</t>
  </si>
  <si>
    <t>2</t>
  </si>
  <si>
    <t>Ser profesional IA por practica real</t>
  </si>
  <si>
    <t>Aplicar IA en cada tarea del ecosistema desde hoy</t>
  </si>
  <si>
    <t>Oruga Products</t>
  </si>
  <si>
    <t>ACTIVO -- Proyecto de apoyo y aprendizaje</t>
  </si>
  <si>
    <t>3</t>
  </si>
  <si>
    <t>Posicionamiento web y marketing digital activo</t>
  </si>
  <si>
    <t>Mantener sitio Netlify activo y optimizar SEO</t>
  </si>
  <si>
    <t>ImpulsaMIA</t>
  </si>
  <si>
    <t>IDEA -- En desarrollo conceptual</t>
  </si>
  <si>
    <t>4</t>
  </si>
  <si>
    <t>Definir MVP y modelo de negocio con IA</t>
  </si>
  <si>
    <t>Documentar funciones core cuando Paint Print este estable</t>
  </si>
  <si>
    <t>DarkPolers</t>
  </si>
  <si>
    <t>FUTURO -- En construccion para 2027</t>
  </si>
  <si>
    <t>5</t>
  </si>
  <si>
    <t>Primera coleccion de ropa en 2027</t>
  </si>
  <si>
    <t>Pausado hasta estabilizar el ecosistema</t>
  </si>
  <si>
    <t>Notting Studio</t>
  </si>
  <si>
    <t>PAUSADO -- Activar post-organizacion</t>
  </si>
  <si>
    <t>Lanzar servicios digitales, branding e IA</t>
  </si>
  <si>
    <t>Pausado hasta ordenar sistema y tener base de clientes</t>
  </si>
  <si>
    <t>Finanzas</t>
  </si>
  <si>
    <t>CONFIGURANDO -- Primer mes operativo</t>
  </si>
  <si>
    <t>Registrar cada ingreso y costo desde el dia 1</t>
  </si>
  <si>
    <t>Usar hoja 04_FINANZAS -- llenar hoy mismo</t>
  </si>
  <si>
    <t>Archivos Carpetas</t>
  </si>
  <si>
    <t>ACTIVO -- Estructura ECOSISTEMA-JEFFERSON lista</t>
  </si>
  <si>
    <t>Mapear y mantener estructura de carpetas y archivos</t>
  </si>
  <si>
    <t>Usar hoja 08_ARCHIVOS_Y_CARPETAS como referencia</t>
  </si>
  <si>
    <t>Fundador: Jefferson Sanchez / Ecosistema Jefferson v1.0 / Junio 2026</t>
  </si>
  <si>
    <t>EMPRESAS Y PROYECTOS -- MAPA COMPLETO DEL ECOSISTEMA JEFFERSON</t>
  </si>
  <si>
    <t>Paint Print financia / Oruga ensena / ImpulsaMIA escala / Notting vende / DarkPolers construye marca</t>
  </si>
  <si>
    <t>Regla: Solo avanza lo que apoya Paint Print o Aprendizaje IA hasta que el ecosistema sea estable</t>
  </si>
  <si>
    <t>PROYECTO</t>
  </si>
  <si>
    <t>TIPO</t>
  </si>
  <si>
    <t>ROL EN ECOSISTEMA</t>
  </si>
  <si>
    <t>ESTADO</t>
  </si>
  <si>
    <t>GENERA DINERO HOY</t>
  </si>
  <si>
    <t>OBSERVACIONES</t>
  </si>
  <si>
    <t>Negocio activo</t>
  </si>
  <si>
    <t>Motor financiero -- financia el ecosistema completo</t>
  </si>
  <si>
    <t>ACTIVO</t>
  </si>
  <si>
    <t>SI -- principal</t>
  </si>
  <si>
    <t>Epson+Cameo+Plancha+Plotter / productos fisicos personalizados</t>
  </si>
  <si>
    <t>Meta personal</t>
  </si>
  <si>
    <t>Capacitar -- fundador como experto en IA practica</t>
  </si>
  <si>
    <t>No -- invierte</t>
  </si>
  <si>
    <t>Claude, ChatGPT, proyectos reales del ecosistema</t>
  </si>
  <si>
    <t>Empresa familiar</t>
  </si>
  <si>
    <t>Aprendizaje -- marketing, web y posicionamiento</t>
  </si>
  <si>
    <t>ACTIVO APOYO</t>
  </si>
  <si>
    <t>No directo</t>
  </si>
  <si>
    <t>Calzado seguridad industrial / sitio Netlify activo</t>
  </si>
  <si>
    <t>Startup -- App</t>
  </si>
  <si>
    <t>Escalar -- solucion para emprendedores usando IA</t>
  </si>
  <si>
    <t>EN DESARROLLO</t>
  </si>
  <si>
    <t>No todavia</t>
  </si>
  <si>
    <t>App/software IA para emprendedores -- largo plazo 2027+</t>
  </si>
  <si>
    <t>Marca futura</t>
  </si>
  <si>
    <t>Marca personal -- ropa y productos lifestyle</t>
  </si>
  <si>
    <t>FUTURO</t>
  </si>
  <si>
    <t>No</t>
  </si>
  <si>
    <t>Primera coleccion 2027 -- no es prioridad inmediata</t>
  </si>
  <si>
    <t>Agencia digital</t>
  </si>
  <si>
    <t>Vender despues -- servicios digitales, IA y branding</t>
  </si>
  <si>
    <t>PAUSADO</t>
  </si>
  <si>
    <t>Pausado hasta que el ecosistema este ordenado</t>
  </si>
  <si>
    <t>PRIORIDADES -- CONTROL DE FOCO DEL ECOSISTEMA JEFFERSON</t>
  </si>
  <si>
    <t>REGLA MAESTRA: Todo lo que no ayude a ordenar, medir o controlar Paint Print queda en pausa</t>
  </si>
  <si>
    <t>Revisa cada lunes. Si haces algo que no esta aqui, para y pregunta: esto ayuda a Paint Print?</t>
  </si>
  <si>
    <t>No.</t>
  </si>
  <si>
    <t>TAREA</t>
  </si>
  <si>
    <t>MOTIVO</t>
  </si>
  <si>
    <t>FECHA OBJETIVO</t>
  </si>
  <si>
    <t>CRITICA</t>
  </si>
  <si>
    <t>Ecosistema</t>
  </si>
  <si>
    <t>Completar Excel Maestro con 12 hojas funcionales</t>
  </si>
  <si>
    <t>Sin organizacion no hay avance -- principio central del ecosistema</t>
  </si>
  <si>
    <t>En proceso</t>
  </si>
  <si>
    <t>Jun 2026</t>
  </si>
  <si>
    <t>Registrar costos reales de cada producto activo</t>
  </si>
  <si>
    <t>Sin costo no se puede cotizar ni saber si se gana o pierde dinero</t>
  </si>
  <si>
    <t>Pendiente</t>
  </si>
  <si>
    <t>ALTA</t>
  </si>
  <si>
    <t>Crear sistema de registro de ventas y clientes</t>
  </si>
  <si>
    <t>Saber exactamente que genera dinero, cuanto y de quien</t>
  </si>
  <si>
    <t>Jul 2026</t>
  </si>
  <si>
    <t>Definir precio minimo con formula OS Seccion 5</t>
  </si>
  <si>
    <t>Regla 6 OS: calcular costo antes de cotizar -- nunca improvisar</t>
  </si>
  <si>
    <t>Mapear y contactar base de clientes actual</t>
  </si>
  <si>
    <t>La base de clientes es el activo mas valioso del negocio</t>
  </si>
  <si>
    <t>6</t>
  </si>
  <si>
    <t>MEDIA</t>
  </si>
  <si>
    <t>Aplicar IA en cada tarea del ecosistema</t>
  </si>
  <si>
    <t>Aprender haciendo -- cada proyecto es practica real con resultado</t>
  </si>
  <si>
    <t>Continuo</t>
  </si>
  <si>
    <t>7</t>
  </si>
  <si>
    <t>Revisar y mantener sitio Netlify activo</t>
  </si>
  <si>
    <t>Presencia digital activa sin esfuerzo extra -- KPI SYSTEMS</t>
  </si>
  <si>
    <t>8</t>
  </si>
  <si>
    <t>BAJA</t>
  </si>
  <si>
    <t>Documentar concepto e idea central del app</t>
  </si>
  <si>
    <t>Solo cuando Paint Print tenga ingresos regulares y estables</t>
  </si>
  <si>
    <t>Pausado</t>
  </si>
  <si>
    <t>Q4 2026</t>
  </si>
  <si>
    <t>9</t>
  </si>
  <si>
    <t>PAUSA</t>
  </si>
  <si>
    <t>Cualquier actividad, proyecto o cliente nuevo</t>
  </si>
  <si>
    <t>No es prioridad hasta estabilizar el ecosistema base</t>
  </si>
  <si>
    <t>2027</t>
  </si>
  <si>
    <t>10</t>
  </si>
  <si>
    <t>NO HACER AHORA</t>
  </si>
  <si>
    <t>General</t>
  </si>
  <si>
    <t>Landing, chatbot, branding, Meta Ads, ventas externas</t>
  </si>
  <si>
    <t>Dispersan antes de tener base solida -- trabajo sin resultados</t>
  </si>
  <si>
    <t>Bloqueado</t>
  </si>
  <si>
    <t>FINANZAS -- CONTROL DE INGRESOS, COSTOS Y GANANCIAS</t>
  </si>
  <si>
    <t>Regla 1 OS: Todo gasto se registra. Regla 6: Calcular costo real antes de cotizar.</t>
  </si>
  <si>
    <t>Formula: Ganancia = Ingreso - Costo Materiales - Costo Herramientas - Otros Costos</t>
  </si>
  <si>
    <t>FECHA</t>
  </si>
  <si>
    <t>PRODUCTO / SERVICIO</t>
  </si>
  <si>
    <t>INGRESO $</t>
  </si>
  <si>
    <t>COSTO MAT.</t>
  </si>
  <si>
    <t>COSTO HERR.</t>
  </si>
  <si>
    <t>OTROS COSTOS</t>
  </si>
  <si>
    <t>GANANCIA ESTIM.</t>
  </si>
  <si>
    <t>TIEMPO USADO</t>
  </si>
  <si>
    <t>OBSERVACION</t>
  </si>
  <si>
    <t>22/06/2026</t>
  </si>
  <si>
    <t>EJEMPLO: 10 Toppers personalizados</t>
  </si>
  <si>
    <t>4.5 hrs</t>
  </si>
  <si>
    <t>Ejemplo -- reemplazar con datos reales</t>
  </si>
  <si>
    <t>-- Agregar pedidos reales aqui --</t>
  </si>
  <si>
    <t>TOTALES DEL MES</t>
  </si>
  <si>
    <t>VENTAS -- REGISTRO COMPLETO DE PEDIDOS Y COTIZACIONES</t>
  </si>
  <si>
    <t>Regla 2 OS: Todo pedido se documenta. Regla 7: Sin pago confirmado, sin produccion.</t>
  </si>
  <si>
    <t>Estados: Cotizado / Aprobado / En diseno / En produccion / Entregado / Pagado / Archivado</t>
  </si>
  <si>
    <t>CLIENTE</t>
  </si>
  <si>
    <t>PRODUCTO</t>
  </si>
  <si>
    <t>CANT.</t>
  </si>
  <si>
    <t>PRECIO UNIT $</t>
  </si>
  <si>
    <t>TOTAL VENTA $</t>
  </si>
  <si>
    <t>PAGADO $</t>
  </si>
  <si>
    <t>PENDIENTE $</t>
  </si>
  <si>
    <t>Cliente Ejemplo</t>
  </si>
  <si>
    <t>Toppers personalizados set 10u</t>
  </si>
  <si>
    <t>Entregado</t>
  </si>
  <si>
    <t>Ejemplo -- reemplazar con pedidos reales</t>
  </si>
  <si>
    <t>CLIENTES -- BASE DE DATOS Y SEGUIMIENTO</t>
  </si>
  <si>
    <t>Regla 3 OS: Todo cliente entra al CRM antes de cobrar. Contactar a 45 dias sin pedido.</t>
  </si>
  <si>
    <t>Estados: Nuevo / Recurrente / Potencial / Pendiente respuesta / Cliente perdido / Cliente VIP</t>
  </si>
  <si>
    <t>ID</t>
  </si>
  <si>
    <t>WHATSAPP</t>
  </si>
  <si>
    <t>INSTAGRAM</t>
  </si>
  <si>
    <t>PRODUCTO COMPRADO</t>
  </si>
  <si>
    <t>FECHA ULT PEDIDO</t>
  </si>
  <si>
    <t>CLI-001</t>
  </si>
  <si>
    <t>+56 9 XXXX XXXX</t>
  </si>
  <si>
    <t>@cliente_ejemplo</t>
  </si>
  <si>
    <t>Toppers personalizados</t>
  </si>
  <si>
    <t>Recurrente</t>
  </si>
  <si>
    <t>Primer registro -- reemplazar con clientes reales</t>
  </si>
  <si>
    <t>-- Agregar clientes reales aqui --</t>
  </si>
  <si>
    <t>PRODUCTOS Y SERVICIOS -- CATALOGO COMPLETO PAINT PRINT</t>
  </si>
  <si>
    <t>Rentabilidad = (Precio - Costo) / Precio -- Meta promedio &gt;= 60% -- Precios en $ CLP</t>
  </si>
  <si>
    <t>Incluye: impresion + corte + sublimacion + gran formato / Actualizar costo al cambiar materiales</t>
  </si>
  <si>
    <t>CODIGO</t>
  </si>
  <si>
    <t>CATEGORIA</t>
  </si>
  <si>
    <t>PRECIO $</t>
  </si>
  <si>
    <t>COSTO ESTIM $</t>
  </si>
  <si>
    <t>TIEMPO PROM</t>
  </si>
  <si>
    <t>DIFICULTAD</t>
  </si>
  <si>
    <t>RENTAB. %</t>
  </si>
  <si>
    <t>ACCION RECOMENDADA</t>
  </si>
  <si>
    <t>PP-001</t>
  </si>
  <si>
    <t>Topper personalizado</t>
  </si>
  <si>
    <t>Eventos y celebraciones</t>
  </si>
  <si>
    <t>45 min/pieza</t>
  </si>
  <si>
    <t>Media</t>
  </si>
  <si>
    <t>Priorizar -- producto estrella</t>
  </si>
  <si>
    <t>PP-002</t>
  </si>
  <si>
    <t>Topper premium iluminado</t>
  </si>
  <si>
    <t>Eventos premium</t>
  </si>
  <si>
    <t>90 min/pieza</t>
  </si>
  <si>
    <t>Alta</t>
  </si>
  <si>
    <t>Mantener -- subir precio si posible</t>
  </si>
  <si>
    <t>PP-003</t>
  </si>
  <si>
    <t>Caja personalizada pequena</t>
  </si>
  <si>
    <t>Packaging</t>
  </si>
  <si>
    <t>45 min/unidad</t>
  </si>
  <si>
    <t>Optimizar con templates pre-disenados</t>
  </si>
  <si>
    <t>PP-004</t>
  </si>
  <si>
    <t>Caja personalizada premium</t>
  </si>
  <si>
    <t>Packaging premium</t>
  </si>
  <si>
    <t>75 min/unidad</t>
  </si>
  <si>
    <t>Optimizar -- plantilla de troquel fija</t>
  </si>
  <si>
    <t>PP-005</t>
  </si>
  <si>
    <t>Etiquetas personalizadas</t>
  </si>
  <si>
    <t>Identidad empresarial</t>
  </si>
  <si>
    <t>20 min/set 20u</t>
  </si>
  <si>
    <t>Baja</t>
  </si>
  <si>
    <t>Priorizar -- alta rotacion y clientes recurrentes</t>
  </si>
  <si>
    <t>PP-006</t>
  </si>
  <si>
    <t>Tarjetas de presentacion</t>
  </si>
  <si>
    <t>35 min/100u</t>
  </si>
  <si>
    <t>Priorizar -- demanda empresarial constante</t>
  </si>
  <si>
    <t>PP-007</t>
  </si>
  <si>
    <t>Stickers personalizados</t>
  </si>
  <si>
    <t>Decoracion y marca</t>
  </si>
  <si>
    <t>15 min/set 10u</t>
  </si>
  <si>
    <t>Priorizar -- mayor margen del catalogo</t>
  </si>
  <si>
    <t>PP-008</t>
  </si>
  <si>
    <t>Vinilo adhesivo</t>
  </si>
  <si>
    <t>Decoracion y rotulacion</t>
  </si>
  <si>
    <t>30 min/diseno</t>
  </si>
  <si>
    <t>Mantener -- estandarizar medidas comunes</t>
  </si>
  <si>
    <t>PP-009</t>
  </si>
  <si>
    <t>Cuadro Neon Flex</t>
  </si>
  <si>
    <t>Decoracion premium</t>
  </si>
  <si>
    <t>120 min/pieza</t>
  </si>
  <si>
    <t>SUBIR PRECIO -- OS recomienda 75% de margen</t>
  </si>
  <si>
    <t>PP-010</t>
  </si>
  <si>
    <t>Decoracion personalizada</t>
  </si>
  <si>
    <t>Decoracion de espacios</t>
  </si>
  <si>
    <t>90 min/proyecto</t>
  </si>
  <si>
    <t>Solo con cotizacion detallada previa</t>
  </si>
  <si>
    <t>PP-011</t>
  </si>
  <si>
    <t>Polera sublimada</t>
  </si>
  <si>
    <t>Sublimacion -- ropa</t>
  </si>
  <si>
    <t>30 min/pieza</t>
  </si>
  <si>
    <t>Agregar al catalogo activo</t>
  </si>
  <si>
    <t>PP-012</t>
  </si>
  <si>
    <t>Poleron sublimado</t>
  </si>
  <si>
    <t>35 min/pieza</t>
  </si>
  <si>
    <t>PP-013</t>
  </si>
  <si>
    <t>Taza personalizada</t>
  </si>
  <si>
    <t>Sublimacion -- regalo</t>
  </si>
  <si>
    <t>20 min/pieza</t>
  </si>
  <si>
    <t>Priorizar -- alta rentabilidad y demanda</t>
  </si>
  <si>
    <t>PP-014</t>
  </si>
  <si>
    <t>Flyer y volante</t>
  </si>
  <si>
    <t>Papeleria</t>
  </si>
  <si>
    <t>15 min/10u</t>
  </si>
  <si>
    <t>Mantener -- pedidos en lote unicamente</t>
  </si>
  <si>
    <t>PP-015</t>
  </si>
  <si>
    <t>Pendon publicitario</t>
  </si>
  <si>
    <t>Gran formato</t>
  </si>
  <si>
    <t>Cotizar bien -- costo de material variable</t>
  </si>
  <si>
    <t>PROMEDIO DE RENTABILIDAD DEL CATALOGO</t>
  </si>
  <si>
    <t>ARCHIVOS Y CARPETAS -- MAPA DEL ECOSISTEMA JEFFERSON</t>
  </si>
  <si>
    <t>Ruta base: C:/Users/PC Francks/Desktop/ECOSISTEMA-JEFFERSON/</t>
  </si>
  <si>
    <t>Mantener actualizado cuando se creen nuevas carpetas o archivos clave</t>
  </si>
  <si>
    <t>AREA</t>
  </si>
  <si>
    <t>CARPETA / RUTA RELATIVA</t>
  </si>
  <si>
    <t>FUNCION</t>
  </si>
  <si>
    <t>ARCHIVO PRINCIPAL</t>
  </si>
  <si>
    <t>ECOSISTEMA-JEFFERSON/</t>
  </si>
  <si>
    <t>Raiz central de todo el sistema</t>
  </si>
  <si>
    <t>Activa</t>
  </si>
  <si>
    <t>ECOSISTEMA-JEFFERSON.md</t>
  </si>
  <si>
    <t>Biblia del ecosistema -- leer antes de decidir</t>
  </si>
  <si>
    <t>Direccion</t>
  </si>
  <si>
    <t>00-DIRECCION-GENERAL/</t>
  </si>
  <si>
    <t>Roles CEO, CFO, COO, CMO, SALES, SYSTEMS</t>
  </si>
  <si>
    <t>MASTER-OPERATING-SYSTEM.md</t>
  </si>
  <si>
    <t>Sistema operativo maestro del ecosistema</t>
  </si>
  <si>
    <t>EMPRESAS/PAINT-PRINT/</t>
  </si>
  <si>
    <t>Operaciones del taller de impresion y personalizacion</t>
  </si>
  <si>
    <t>PAINT-PRINT-OPERATING-SYSTEM.md</t>
  </si>
  <si>
    <t>OS de PP + COSTOS.xlsx + clientes activos</t>
  </si>
  <si>
    <t>EMPRESAS/ORUGA-PRODUCTS/</t>
  </si>
  <si>
    <t>Calzado seguridad industrial -- empresa familiar</t>
  </si>
  <si>
    <t>README.md + sitio Netlify</t>
  </si>
  <si>
    <t>Sitio web activo en Netlify</t>
  </si>
  <si>
    <t>EMPRESAS/IMPULSEMIA/</t>
  </si>
  <si>
    <t>App para emprendedores con IA -- idea en desarrollo</t>
  </si>
  <si>
    <t>A crear cuando PP este estable</t>
  </si>
  <si>
    <t>Crear estructura cuando llegue el momento</t>
  </si>
  <si>
    <t>EMPRESAS/DARKPOLERS/</t>
  </si>
  <si>
    <t>Marca ropa futura -- primera coleccion 2027</t>
  </si>
  <si>
    <t>Pausada</t>
  </si>
  <si>
    <t>A crear</t>
  </si>
  <si>
    <t>Pausado -- no avanzar todavia</t>
  </si>
  <si>
    <t>EMPRESAS/NOTTING-STUDIO/</t>
  </si>
  <si>
    <t>Agencia digital -- servicios branding, webs e IA</t>
  </si>
  <si>
    <t>Pausado hasta ordenar ecosistema</t>
  </si>
  <si>
    <t>Clientes</t>
  </si>
  <si>
    <t>CLIENTES/</t>
  </si>
  <si>
    <t>Base de datos y archivos de clientes de Paint Print</t>
  </si>
  <si>
    <t>Ver hoja 06_CLIENTES de este Excel</t>
  </si>
  <si>
    <t>Un archivo o carpeta por cliente activo</t>
  </si>
  <si>
    <t>01-FINANZAS/</t>
  </si>
  <si>
    <t>Registros financieros mensuales y reportes</t>
  </si>
  <si>
    <t>Ver hoja 04_FINANZAS de este Excel</t>
  </si>
  <si>
    <t>Un reporte por mes -- cerrar dias 1-5</t>
  </si>
  <si>
    <t>IA y Prompts</t>
  </si>
  <si>
    <t>05-IA-Y-AUTOMATIZACION/</t>
  </si>
  <si>
    <t>Biblioteca de prompts y automatizaciones activas</t>
  </si>
  <si>
    <t>A documentar en FLUJOS-ACTIVOS/</t>
  </si>
  <si>
    <t>Ver hoja 12_APRENDIZAJE_IA de este Excel</t>
  </si>
  <si>
    <t>Recursos</t>
  </si>
  <si>
    <t>RECURSOS/</t>
  </si>
  <si>
    <t>Plantillas, guias y materiales de apoyo</t>
  </si>
  <si>
    <t>Plantillas de cotizacion PP</t>
  </si>
  <si>
    <t>Crear plantilla de cotizacion Paint Print primero</t>
  </si>
  <si>
    <t>TAREAS -- CONTROL DE ACCIONES DEL ECOSISTEMA JEFFERSON</t>
  </si>
  <si>
    <t>Estados: Pendiente / En proceso / Bloqueado / Terminado / Archivado</t>
  </si>
  <si>
    <t>Solo una tarea CRITICA activa a la vez por proyecto. No abrir nuevas hasta cerrar las abiertas.</t>
  </si>
  <si>
    <t>RESULTADO ESPERADO</t>
  </si>
  <si>
    <t>Completar Excel Maestro -- 12 hojas funcionales y en uso</t>
  </si>
  <si>
    <t>Excel Maestro como centro de decision del ecosistema</t>
  </si>
  <si>
    <t>Primera sesion de organizacion del ecosistema Jefferson</t>
  </si>
  <si>
    <t>Registrar 15 productos en hoja 07_PRODUCTOS_SERVICIOS</t>
  </si>
  <si>
    <t>Catalogo completo con costo y precio real de cada producto</t>
  </si>
  <si>
    <t>Base del sistema de costeo -- Regla 6 OS</t>
  </si>
  <si>
    <t>Agregar primer pedido real en hoja 05_VENTAS</t>
  </si>
  <si>
    <t>Primer registro de venta con datos reales del negocio</t>
  </si>
  <si>
    <t>Iniciar historial financiero hoy</t>
  </si>
  <si>
    <t>Agregar primeros clientes en hoja 06_CLIENTES</t>
  </si>
  <si>
    <t>Base de datos iniciada -- meta 5 clientes en semana 1</t>
  </si>
  <si>
    <t>Regla 3 OS: todo cliente entra al CRM</t>
  </si>
  <si>
    <t>23/06/2026</t>
  </si>
  <si>
    <t>Crear plantilla de cotizacion Paint Print con Claude</t>
  </si>
  <si>
    <t>Plantilla lista para usar en cada cotizacion</t>
  </si>
  <si>
    <t>Practicar haciendo -- no leer tutoriales</t>
  </si>
  <si>
    <t>01/07/2026</t>
  </si>
  <si>
    <t>Revisar costos reales vs estimados en hoja COSTOS</t>
  </si>
  <si>
    <t>Costos validados con materiales y tiempos reales</t>
  </si>
  <si>
    <t>Regla 6 OS: calcular antes de cotizar siempre</t>
  </si>
  <si>
    <t>Verificar uptime y SEO basico del sitio Netlify</t>
  </si>
  <si>
    <t>Sitio activo y apareciendo en Google</t>
  </si>
  <si>
    <t>KPI SYSTEMS: uptime &gt;= 99%</t>
  </si>
  <si>
    <t>15/07/2026</t>
  </si>
  <si>
    <t>Primer cierre financiero mensual documentado</t>
  </si>
  <si>
    <t>Reporte utilidad neta real -- meta margen &gt;= 55%</t>
  </si>
  <si>
    <t>Meta anual: utilidad neta positiva en Q4 2026</t>
  </si>
  <si>
    <t>01/08/2026</t>
  </si>
  <si>
    <t>Documentar concepto e idea central del app en 1 pagina</t>
  </si>
  <si>
    <t>Brief de producto con funciones core</t>
  </si>
  <si>
    <t>Solo cuando Paint Print tenga ingresos regulares</t>
  </si>
  <si>
    <t>01/09/2026</t>
  </si>
  <si>
    <t>Evaluar si activar el proyecto formalmente</t>
  </si>
  <si>
    <t>Decision GO/NO-GO en hoja 10_DECISIONES</t>
  </si>
  <si>
    <t>Depende de estabilidad del ecosistema base</t>
  </si>
  <si>
    <t>DECISIONES -- REGISTRO DE DECISIONES IMPORTANTES DEL ECOSISTEMA</t>
  </si>
  <si>
    <t>Registrar: decisiones que afectan al ecosistema por mas de 1 mes o que son irreversibles</t>
  </si>
  <si>
    <t>Una decision registrada no se vuelve a discutir. Se ejecuta o se revisa con datos nuevos.</t>
  </si>
  <si>
    <t>DECISION</t>
  </si>
  <si>
    <t>Priorizar Ecosistema Jefferson antes de ventas externas y proyectos nuevos</t>
  </si>
  <si>
    <t>Sin organizacion no hay avance -- el sistema es la base de todo crecimiento real</t>
  </si>
  <si>
    <t>Excel Maestro completo y en uso diario como centro de decision</t>
  </si>
  <si>
    <t>Decidida -- En ejecucion</t>
  </si>
  <si>
    <t>Paint Print sera el motor financiero -- prioridad 1 de todo el ecosistema</t>
  </si>
  <si>
    <t>Es el unico negocio con ingresos reales actuales -- debe financiar los demas proyectos</t>
  </si>
  <si>
    <t>Ingresos regulares que cubran costos del ecosistema y permitan invertir</t>
  </si>
  <si>
    <t>No avanzar landing, chatbot, branding ni ventas externas hasta ordenar el Excel</t>
  </si>
  <si>
    <t>Dispersarse antes de tener base solida genera trabajo sin resultados -- riesgo alto</t>
  </si>
  <si>
    <t>Excel Maestro funcional como prerequisito antes de cualquier accion externa</t>
  </si>
  <si>
    <t>Usar IA como mentor practico -- aprender haciendo en proyectos reales del ecosistema</t>
  </si>
  <si>
    <t>Aprender sin cursos pagos -- cada proyecto es una practica real de IA con impacto directo</t>
  </si>
  <si>
    <t>Convertirse en profesional de IA en 12 meses usando el ecosistema como campo</t>
  </si>
  <si>
    <t>Oruga Products sera proyecto de apoyo y aprendizaje -- no la prioridad principal</t>
  </si>
  <si>
    <t>Tiene estructura propia -- Paint Print necesita mas atencion y desarrollo activo en 2026</t>
  </si>
  <si>
    <t>Oruga en piloto automatico -- Paint Print en crecimiento activo</t>
  </si>
  <si>
    <t>IDEAS FUTURAS -- BANCO DE IDEAS EN PAUSA</t>
  </si>
  <si>
    <t>REGLA: Nada de esta lista se ejecuta hasta que Paint Print tenga procesos estables e ingresos regulares</t>
  </si>
  <si>
    <t>Revisa esta hoja al termino de cada trimestre. No antes. Las ideas no desaparecen -- esperan su momento.</t>
  </si>
  <si>
    <t>IDEA</t>
  </si>
  <si>
    <t>POTENCIAL</t>
  </si>
  <si>
    <t>CUANDO REVISARLA</t>
  </si>
  <si>
    <t>Landing page de ventas -- Paint Print</t>
  </si>
  <si>
    <t>Requiere catalogo, precios y proceso de venta estables primero</t>
  </si>
  <si>
    <t>Chatbot de cotizacion automatica -- Paint Print</t>
  </si>
  <si>
    <t>Necesita catalogo y precios definitivos -- construir despues del Excel</t>
  </si>
  <si>
    <t>Branding completo Notting Studio</t>
  </si>
  <si>
    <t>Requiere que el ecosistema base este completamente ordenado</t>
  </si>
  <si>
    <t>App ImpulsaMIA v1.0 -- MVP basico con IA</t>
  </si>
  <si>
    <t>Muy Alta</t>
  </si>
  <si>
    <t>Futura</t>
  </si>
  <si>
    <t>2027-2028</t>
  </si>
  <si>
    <t>Requiere conocimiento IA solido y recursos financieros disponibles</t>
  </si>
  <si>
    <t>DarkPolers -- primera coleccion de ropa</t>
  </si>
  <si>
    <t>Requiere capital disponible y tiempo libre -- no es el momento</t>
  </si>
  <si>
    <t>Campanas Meta Ads para Paint Print</t>
  </si>
  <si>
    <t>Solo con producto, precio y proceso de venta completamente definido</t>
  </si>
  <si>
    <t>Webs para clientes externos -- Notting Studio</t>
  </si>
  <si>
    <t>Pausado hasta lanzar Notting Studio formalmente</t>
  </si>
  <si>
    <t>APRENDIZAJE IA -- CAMINO PARA SER PROFESIONAL EN INTELIGENCIA ARTIFICIAL</t>
  </si>
  <si>
    <t>Metodo: Aprender haciendo -- cada proyecto del ecosistema es una practica real de IA con resultado</t>
  </si>
  <si>
    <t>Meta 2026: Dominar Claude, ChatGPT y automatizacion aplicados a negocios reales del ecosistema</t>
  </si>
  <si>
    <t>HERRAMIENTA</t>
  </si>
  <si>
    <t>QUE APRENDI</t>
  </si>
  <si>
    <t>PARA QUE ME SIRVE</t>
  </si>
  <si>
    <t>PROYECTO APLICADO</t>
  </si>
  <si>
    <t>PROXIMO PASO</t>
  </si>
  <si>
    <t>Claude (Anthropic)</t>
  </si>
  <si>
    <t>Generacion de documentos empresariales: OS, SOPs, analisis, estrategia</t>
  </si>
  <si>
    <t>Crear sistemas operativos, analizar costos y tomar decisiones con datos</t>
  </si>
  <si>
    <t>Ecosistema Jefferson -- todos los documentos clave</t>
  </si>
  <si>
    <t>Aplicar en cotizaciones y reportes mensuales de Paint Print</t>
  </si>
  <si>
    <t>Claude Code</t>
  </si>
  <si>
    <t>Automatizacion de Excel via EPPlus y PowerShell -- sin abrir Excel</t>
  </si>
  <si>
    <t>Generar reportes automaticos, Excel maestros y dashboards sin esfuerzo manual</t>
  </si>
  <si>
    <t>PAINT-PRINT-COSTOS.xlsx + ECOSISTEMA-MASTER.xlsx</t>
  </si>
  <si>
    <t>Script de reporte mensual automatico del ecosistema</t>
  </si>
  <si>
    <t>ChatGPT</t>
  </si>
  <si>
    <t>Brainstorming rapido y validacion inicial de ideas de negocio</t>
  </si>
  <si>
    <t>Consultar ideas de marketing, nombres, conceptos -- mas agil para ideas rapidas</t>
  </si>
  <si>
    <t>ImpulsaMIA brainstorming + DarkPolers nombres</t>
  </si>
  <si>
    <t>Explorar diferencias con Claude -- elegir herramienta correcta</t>
  </si>
  <si>
    <t>Canva</t>
  </si>
  <si>
    <t>Diseno rapido de contenido para redes sociales</t>
  </si>
  <si>
    <t>Crear contenido visual sin Adobe -- mas rapido que Illustrator para redes</t>
  </si>
  <si>
    <t>Paint Print redes + Oruga contenido</t>
  </si>
  <si>
    <t>Automatizar templates de publicaciones de Paint Print</t>
  </si>
  <si>
    <t>Netlify</t>
  </si>
  <si>
    <t>Hosting de sitios estaticos gratuito con deploy automatico</t>
  </si>
  <si>
    <t>Deploy de sitios web sin backend ni costo mensual -- ideal para el ecosistema</t>
  </si>
  <si>
    <t>Oruga Products sitio activo en produccion</t>
  </si>
  <si>
    <t>Aprender CI/CD basico con GitHub conectado a Netlify</t>
  </si>
  <si>
    <t>Silhouette Studio</t>
  </si>
  <si>
    <t>Control del plotter de corte -- integracion diseno a produccion fisica</t>
  </si>
  <si>
    <t>Conectar diseno digital directamente con produccion del taller Paint Print</t>
  </si>
  <si>
    <t>Paint Print -- todos los productos de corte con Cameo</t>
  </si>
  <si>
    <t>Optimizar flujo: diseno Adobe a corte Cameo 4 Plus</t>
  </si>
  <si>
    <t>Codex / GitHub Copilot</t>
  </si>
  <si>
    <t>Generacion de codigo asistido por IA para scripts y automatizaciones</t>
  </si>
  <si>
    <t>Acelerar scripts del ecosistema y eventualmente ImpulsaMIA</t>
  </si>
  <si>
    <t>A aplicar en scripts del ecosistema Jefferson</t>
  </si>
  <si>
    <t>Explorar cuando el ecosistema base este funcionando</t>
  </si>
  <si>
    <t>Nano Banana</t>
  </si>
  <si>
    <t>Herramienta IA pendiente de explorar y evaluar</t>
  </si>
  <si>
    <t>Pendiente de evaluar aplicacion en el ecosistema</t>
  </si>
  <si>
    <t>A definir despues de evaluacion</t>
  </si>
  <si>
    <t>Evaluar y registrar aqui el aprendizaje obtenido</t>
  </si>
  <si>
    <t>IA de imagenes</t>
  </si>
  <si>
    <t>Generacion de imagenes: Midjourney, DALL-E, Stable Diffusion</t>
  </si>
  <si>
    <t>Crear referencias visuales para productos Paint Print y DarkPolers</t>
  </si>
  <si>
    <t>Paint Print conceptos + DarkPolers disenos</t>
  </si>
  <si>
    <t>Explorar cuando haya presupuesto o version gratuita</t>
  </si>
  <si>
    <t>IA de video</t>
  </si>
  <si>
    <t>Generacion y edicion de video con IA -- Runway, Pika u otras</t>
  </si>
  <si>
    <t>Crear contenido de video para redes sin productor externo</t>
  </si>
  <si>
    <t>Redes de Paint Print y Oruga Products</t>
  </si>
  <si>
    <t>Evaluar opciones disponibles y costo real de cada una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</si>
</sst>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"/>
    <numFmt numFmtId="179" formatCode="0.0%"/>
  </numFmts>
  <fonts count="26">
    <font>
      <sz val="11"/>
      <name val="Calibri"/>
      <charset val="134"/>
    </font>
    <font>
      <b/>
      <sz val="11"/>
      <color rgb="FFFFFFFF"/>
      <name val="Calibri"/>
      <charset val="134"/>
    </font>
    <font>
      <b/>
      <sz val="11"/>
      <name val="Calibri"/>
      <charset val="134"/>
    </font>
    <font>
      <i/>
      <sz val="11"/>
      <color rgb="FF0070C0"/>
      <name val="Calibri"/>
      <charset val="134"/>
    </font>
    <font>
      <i/>
      <sz val="11"/>
      <name val="Calibri"/>
      <charset val="134"/>
    </font>
    <font>
      <i/>
      <sz val="11"/>
      <color rgb="FF152035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152035"/>
        <bgColor indexed="64"/>
      </patternFill>
    </fill>
    <fill>
      <patternFill patternType="solid">
        <fgColor rgb="FF00966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467F"/>
        <bgColor indexed="64"/>
      </patternFill>
    </fill>
    <fill>
      <patternFill patternType="solid">
        <fgColor rgb="FFDC5014"/>
        <bgColor indexed="64"/>
      </patternFill>
    </fill>
    <fill>
      <patternFill patternType="solid">
        <fgColor rgb="FFB41E1E"/>
        <bgColor indexed="64"/>
      </patternFill>
    </fill>
    <fill>
      <patternFill patternType="solid">
        <fgColor rgb="FF8B5A2B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780078"/>
        <bgColor indexed="64"/>
      </patternFill>
    </fill>
    <fill>
      <patternFill patternType="solid">
        <fgColor rgb="FF228B22"/>
        <bgColor indexed="64"/>
      </patternFill>
    </fill>
    <fill>
      <patternFill patternType="solid">
        <fgColor rgb="FFE85D0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5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6" borderId="4" applyNumberFormat="0" applyAlignment="0" applyProtection="0">
      <alignment vertical="center"/>
    </xf>
    <xf numFmtId="0" fontId="16" fillId="17" borderId="5" applyNumberFormat="0" applyAlignment="0" applyProtection="0">
      <alignment vertical="center"/>
    </xf>
    <xf numFmtId="0" fontId="17" fillId="17" borderId="4" applyNumberFormat="0" applyAlignment="0" applyProtection="0">
      <alignment vertical="center"/>
    </xf>
    <xf numFmtId="0" fontId="18" fillId="18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</cellStyleXfs>
  <cellXfs count="39">
    <xf numFmtId="0" fontId="0" fillId="0" borderId="0" xfId="0" applyNumberFormat="1" applyFont="1" applyProtection="1"/>
    <xf numFmtId="0" fontId="1" fillId="2" borderId="0" xfId="0" applyNumberFormat="1" applyFont="1" applyFill="1" applyProtection="1"/>
    <xf numFmtId="0" fontId="0" fillId="2" borderId="0" xfId="0" applyNumberFormat="1" applyFont="1" applyFill="1" applyProtection="1"/>
    <xf numFmtId="0" fontId="1" fillId="3" borderId="0" xfId="0" applyNumberFormat="1" applyFont="1" applyFill="1" applyProtection="1"/>
    <xf numFmtId="0" fontId="0" fillId="3" borderId="0" xfId="0" applyNumberFormat="1" applyFont="1" applyFill="1" applyProtection="1"/>
    <xf numFmtId="0" fontId="1" fillId="4" borderId="0" xfId="0" applyNumberFormat="1" applyFont="1" applyFill="1" applyProtection="1"/>
    <xf numFmtId="0" fontId="0" fillId="4" borderId="0" xfId="0" applyNumberFormat="1" applyFont="1" applyFill="1" applyProtection="1"/>
    <xf numFmtId="0" fontId="1" fillId="2" borderId="0" xfId="0" applyNumberFormat="1" applyFont="1" applyFill="1" applyAlignment="1" applyProtection="1">
      <alignment horizontal="center" wrapText="1"/>
    </xf>
    <xf numFmtId="0" fontId="0" fillId="5" borderId="0" xfId="0" applyNumberFormat="1" applyFont="1" applyFill="1" applyProtection="1"/>
    <xf numFmtId="0" fontId="1" fillId="6" borderId="0" xfId="0" applyNumberFormat="1" applyFont="1" applyFill="1" applyProtection="1"/>
    <xf numFmtId="0" fontId="0" fillId="6" borderId="0" xfId="0" applyNumberFormat="1" applyFont="1" applyFill="1" applyProtection="1"/>
    <xf numFmtId="0" fontId="1" fillId="7" borderId="0" xfId="0" applyNumberFormat="1" applyFont="1" applyFill="1" applyProtection="1"/>
    <xf numFmtId="0" fontId="0" fillId="7" borderId="0" xfId="0" applyNumberFormat="1" applyFont="1" applyFill="1" applyProtection="1"/>
    <xf numFmtId="0" fontId="1" fillId="8" borderId="0" xfId="0" applyNumberFormat="1" applyFont="1" applyFill="1" applyProtection="1"/>
    <xf numFmtId="0" fontId="0" fillId="8" borderId="0" xfId="0" applyNumberFormat="1" applyFont="1" applyFill="1" applyProtection="1"/>
    <xf numFmtId="0" fontId="1" fillId="9" borderId="0" xfId="0" applyNumberFormat="1" applyFont="1" applyFill="1" applyProtection="1"/>
    <xf numFmtId="0" fontId="0" fillId="9" borderId="0" xfId="0" applyNumberFormat="1" applyFont="1" applyFill="1" applyProtection="1"/>
    <xf numFmtId="0" fontId="1" fillId="10" borderId="0" xfId="0" applyNumberFormat="1" applyFont="1" applyFill="1" applyProtection="1"/>
    <xf numFmtId="0" fontId="0" fillId="10" borderId="0" xfId="0" applyNumberFormat="1" applyFont="1" applyFill="1" applyProtection="1"/>
    <xf numFmtId="0" fontId="2" fillId="0" borderId="0" xfId="0" applyNumberFormat="1" applyFont="1" applyProtection="1"/>
    <xf numFmtId="0" fontId="2" fillId="5" borderId="0" xfId="0" applyNumberFormat="1" applyFont="1" applyFill="1" applyProtection="1"/>
    <xf numFmtId="0" fontId="1" fillId="11" borderId="0" xfId="0" applyNumberFormat="1" applyFont="1" applyFill="1" applyProtection="1"/>
    <xf numFmtId="0" fontId="0" fillId="11" borderId="0" xfId="0" applyNumberFormat="1" applyFont="1" applyFill="1" applyProtection="1"/>
    <xf numFmtId="178" fontId="0" fillId="0" borderId="0" xfId="0" applyNumberFormat="1" applyFont="1" applyProtection="1"/>
    <xf numFmtId="178" fontId="0" fillId="5" borderId="0" xfId="0" applyNumberFormat="1" applyFont="1" applyFill="1" applyProtection="1"/>
    <xf numFmtId="179" fontId="0" fillId="0" borderId="0" xfId="0" applyNumberFormat="1" applyFont="1" applyProtection="1"/>
    <xf numFmtId="179" fontId="0" fillId="5" borderId="0" xfId="0" applyNumberFormat="1" applyFont="1" applyFill="1" applyProtection="1"/>
    <xf numFmtId="179" fontId="1" fillId="2" borderId="0" xfId="0" applyNumberFormat="1" applyFont="1" applyFill="1" applyProtection="1"/>
    <xf numFmtId="0" fontId="1" fillId="12" borderId="0" xfId="0" applyNumberFormat="1" applyFont="1" applyFill="1" applyProtection="1"/>
    <xf numFmtId="0" fontId="0" fillId="12" borderId="0" xfId="0" applyNumberFormat="1" applyFont="1" applyFill="1" applyProtection="1"/>
    <xf numFmtId="0" fontId="3" fillId="5" borderId="0" xfId="0" applyNumberFormat="1" applyFont="1" applyFill="1" applyProtection="1"/>
    <xf numFmtId="0" fontId="4" fillId="0" borderId="0" xfId="0" applyNumberFormat="1" applyFont="1" applyProtection="1"/>
    <xf numFmtId="178" fontId="2" fillId="0" borderId="0" xfId="0" applyNumberFormat="1" applyFont="1" applyProtection="1"/>
    <xf numFmtId="178" fontId="1" fillId="2" borderId="0" xfId="0" applyNumberFormat="1" applyFont="1" applyFill="1" applyProtection="1"/>
    <xf numFmtId="0" fontId="1" fillId="13" borderId="0" xfId="0" applyNumberFormat="1" applyFont="1" applyFill="1" applyProtection="1"/>
    <xf numFmtId="0" fontId="0" fillId="13" borderId="0" xfId="0" applyNumberFormat="1" applyFont="1" applyFill="1" applyProtection="1"/>
    <xf numFmtId="0" fontId="1" fillId="14" borderId="0" xfId="0" applyNumberFormat="1" applyFont="1" applyFill="1" applyProtection="1"/>
    <xf numFmtId="0" fontId="0" fillId="14" borderId="0" xfId="0" applyNumberFormat="1" applyFont="1" applyFill="1" applyProtection="1"/>
    <xf numFmtId="0" fontId="5" fillId="0" borderId="0" xfId="0" applyNumberFormat="1" applyFont="1" applyProtection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52035"/>
  </sheetPr>
  <dimension ref="A1:F14"/>
  <sheetViews>
    <sheetView topLeftCell="A2" workbookViewId="0">
      <selection activeCell="A1" sqref="A1"/>
    </sheetView>
  </sheetViews>
  <sheetFormatPr defaultColWidth="9" defaultRowHeight="15" outlineLevelCol="5"/>
  <cols>
    <col min="1" max="1" width="3" customWidth="1"/>
    <col min="2" max="2" width="26" customWidth="1"/>
    <col min="3" max="3" width="32" customWidth="1"/>
    <col min="4" max="4" width="10" customWidth="1"/>
    <col min="5" max="6" width="36" customWidth="1"/>
  </cols>
  <sheetData>
    <row r="1" ht="22" customHeight="1" spans="1:6">
      <c r="A1" s="1" t="s">
        <v>0</v>
      </c>
      <c r="B1" s="2"/>
      <c r="C1" s="2"/>
      <c r="D1" s="2"/>
      <c r="E1" s="2"/>
      <c r="F1" s="2"/>
    </row>
    <row r="2" ht="32" customHeight="1" spans="1:1">
      <c r="A2" s="38" t="s">
        <v>1</v>
      </c>
    </row>
    <row r="3" ht="22" customHeight="1" spans="1:6">
      <c r="A3" s="5" t="s">
        <v>2</v>
      </c>
      <c r="B3" s="6"/>
      <c r="C3" s="6"/>
      <c r="D3" s="6"/>
      <c r="E3" s="6"/>
      <c r="F3" s="6"/>
    </row>
    <row r="4" ht="32" customHeight="1" spans="1:6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</row>
    <row r="5" ht="18" customHeight="1" spans="1:5">
      <c r="A5" t="s">
        <v>9</v>
      </c>
      <c r="B5" s="19" t="s">
        <v>10</v>
      </c>
      <c r="C5" t="s">
        <v>11</v>
      </c>
      <c r="D5" t="s">
        <v>12</v>
      </c>
      <c r="E5" t="s">
        <v>13</v>
      </c>
    </row>
    <row r="6" ht="18" customHeight="1" spans="1:6">
      <c r="A6" s="8" t="s">
        <v>14</v>
      </c>
      <c r="B6" s="20" t="s">
        <v>15</v>
      </c>
      <c r="C6" s="8" t="s">
        <v>16</v>
      </c>
      <c r="D6" s="8" t="s">
        <v>17</v>
      </c>
      <c r="E6" s="8" t="s">
        <v>18</v>
      </c>
      <c r="F6" s="8"/>
    </row>
    <row r="7" ht="18" customHeight="1" spans="1:5">
      <c r="A7" t="s">
        <v>19</v>
      </c>
      <c r="B7" s="19" t="s">
        <v>20</v>
      </c>
      <c r="C7" t="s">
        <v>21</v>
      </c>
      <c r="D7" t="s">
        <v>22</v>
      </c>
      <c r="E7" t="s">
        <v>23</v>
      </c>
    </row>
    <row r="8" ht="18" customHeight="1" spans="1:6">
      <c r="A8" s="8" t="s">
        <v>24</v>
      </c>
      <c r="B8" s="20" t="s">
        <v>25</v>
      </c>
      <c r="C8" s="8" t="s">
        <v>26</v>
      </c>
      <c r="D8" s="8" t="s">
        <v>27</v>
      </c>
      <c r="E8" s="8" t="s">
        <v>28</v>
      </c>
      <c r="F8" s="8"/>
    </row>
    <row r="9" ht="18" customHeight="1" spans="1:5">
      <c r="A9" t="s">
        <v>29</v>
      </c>
      <c r="B9" s="19" t="s">
        <v>30</v>
      </c>
      <c r="C9" t="s">
        <v>31</v>
      </c>
      <c r="D9" t="s">
        <v>32</v>
      </c>
      <c r="E9" t="s">
        <v>33</v>
      </c>
    </row>
    <row r="10" ht="18" customHeight="1" spans="1:6">
      <c r="A10" s="8" t="s">
        <v>34</v>
      </c>
      <c r="B10" s="20" t="s">
        <v>35</v>
      </c>
      <c r="C10" s="8" t="s">
        <v>31</v>
      </c>
      <c r="D10" s="8" t="s">
        <v>36</v>
      </c>
      <c r="E10" s="8" t="s">
        <v>37</v>
      </c>
      <c r="F10" s="8"/>
    </row>
    <row r="11" ht="18" customHeight="1" spans="1:5">
      <c r="A11" t="s">
        <v>38</v>
      </c>
      <c r="B11" s="19" t="s">
        <v>39</v>
      </c>
      <c r="C11" t="s">
        <v>11</v>
      </c>
      <c r="D11" t="s">
        <v>40</v>
      </c>
      <c r="E11" t="s">
        <v>41</v>
      </c>
    </row>
    <row r="12" ht="18" customHeight="1" spans="1:6">
      <c r="A12" s="8" t="s">
        <v>42</v>
      </c>
      <c r="B12" s="20" t="s">
        <v>43</v>
      </c>
      <c r="C12" s="8" t="s">
        <v>11</v>
      </c>
      <c r="D12" s="8" t="s">
        <v>44</v>
      </c>
      <c r="E12" s="8" t="s">
        <v>45</v>
      </c>
      <c r="F12" s="8"/>
    </row>
    <row r="14" spans="2:2">
      <c r="B14" s="38" t="s">
        <v>46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H10"/>
  <sheetViews>
    <sheetView workbookViewId="0">
      <selection activeCell="B4" sqref="B4"/>
    </sheetView>
  </sheetViews>
  <sheetFormatPr defaultColWidth="9" defaultRowHeight="15" outlineLevelCol="7"/>
  <cols>
    <col min="1" max="1" width="3" customWidth="1"/>
    <col min="2" max="2" width="20" customWidth="1"/>
    <col min="3" max="3" width="16" customWidth="1"/>
    <col min="4" max="4" width="30" customWidth="1"/>
    <col min="5" max="5" width="16" customWidth="1"/>
    <col min="6" max="6" width="14" customWidth="1"/>
    <col min="7" max="7" width="10" customWidth="1"/>
    <col min="8" max="8" width="32" customWidth="1"/>
  </cols>
  <sheetData>
    <row r="1" ht="22" customHeight="1" spans="1:8">
      <c r="A1" s="1" t="s">
        <v>47</v>
      </c>
      <c r="B1" s="2"/>
      <c r="C1" s="2"/>
      <c r="D1" s="2"/>
      <c r="E1" s="2"/>
      <c r="F1" s="2"/>
      <c r="G1" s="2"/>
      <c r="H1" s="2"/>
    </row>
    <row r="2" ht="22" customHeight="1" spans="1:8">
      <c r="A2" s="5" t="s">
        <v>48</v>
      </c>
      <c r="B2" s="6"/>
      <c r="C2" s="6"/>
      <c r="D2" s="6"/>
      <c r="E2" s="6"/>
      <c r="F2" s="6"/>
      <c r="G2" s="6"/>
      <c r="H2" s="6"/>
    </row>
    <row r="3" ht="22" customHeight="1" spans="1:8">
      <c r="A3" s="21" t="s">
        <v>49</v>
      </c>
      <c r="B3" s="22"/>
      <c r="C3" s="22"/>
      <c r="D3" s="22"/>
      <c r="E3" s="22"/>
      <c r="F3" s="22"/>
      <c r="G3" s="22"/>
      <c r="H3" s="22"/>
    </row>
    <row r="4" ht="32" customHeight="1" spans="1:8">
      <c r="A4" s="7" t="s">
        <v>3</v>
      </c>
      <c r="B4" s="7" t="s">
        <v>50</v>
      </c>
      <c r="C4" s="7" t="s">
        <v>51</v>
      </c>
      <c r="D4" s="7" t="s">
        <v>52</v>
      </c>
      <c r="E4" s="7" t="s">
        <v>53</v>
      </c>
      <c r="F4" s="7" t="s">
        <v>54</v>
      </c>
      <c r="G4" s="7" t="s">
        <v>6</v>
      </c>
      <c r="H4" s="7" t="s">
        <v>55</v>
      </c>
    </row>
    <row r="5" ht="18" customHeight="1" spans="1:7">
      <c r="A5" t="s">
        <v>9</v>
      </c>
      <c r="B5" s="19" t="s">
        <v>56</v>
      </c>
      <c r="C5" t="s">
        <v>57</v>
      </c>
      <c r="D5" t="s">
        <v>58</v>
      </c>
      <c r="E5" t="s">
        <v>59</v>
      </c>
      <c r="F5" t="s">
        <v>11</v>
      </c>
      <c r="G5" t="s">
        <v>60</v>
      </c>
    </row>
    <row r="6" ht="18" customHeight="1" spans="1:8">
      <c r="A6" s="8" t="s">
        <v>14</v>
      </c>
      <c r="B6" s="20" t="s">
        <v>61</v>
      </c>
      <c r="C6" s="8" t="s">
        <v>62</v>
      </c>
      <c r="D6" s="8" t="s">
        <v>58</v>
      </c>
      <c r="E6" s="8" t="s">
        <v>63</v>
      </c>
      <c r="F6" s="8" t="s">
        <v>16</v>
      </c>
      <c r="G6" s="8" t="s">
        <v>64</v>
      </c>
      <c r="H6" s="8"/>
    </row>
    <row r="7" ht="18" customHeight="1" spans="1:7">
      <c r="A7" t="s">
        <v>19</v>
      </c>
      <c r="B7" s="19" t="s">
        <v>65</v>
      </c>
      <c r="C7" t="s">
        <v>66</v>
      </c>
      <c r="D7" t="s">
        <v>67</v>
      </c>
      <c r="E7" t="s">
        <v>68</v>
      </c>
      <c r="F7" t="s">
        <v>21</v>
      </c>
      <c r="G7" t="s">
        <v>69</v>
      </c>
    </row>
    <row r="8" ht="18" customHeight="1" spans="1:8">
      <c r="A8" s="8" t="s">
        <v>24</v>
      </c>
      <c r="B8" s="20" t="s">
        <v>70</v>
      </c>
      <c r="C8" s="8" t="s">
        <v>71</v>
      </c>
      <c r="D8" s="8" t="s">
        <v>72</v>
      </c>
      <c r="E8" s="8" t="s">
        <v>73</v>
      </c>
      <c r="F8" s="8" t="s">
        <v>26</v>
      </c>
      <c r="G8" s="8" t="s">
        <v>74</v>
      </c>
      <c r="H8" s="8"/>
    </row>
    <row r="9" ht="18" customHeight="1" spans="1:7">
      <c r="A9" t="s">
        <v>29</v>
      </c>
      <c r="B9" s="19" t="s">
        <v>75</v>
      </c>
      <c r="C9" t="s">
        <v>76</v>
      </c>
      <c r="D9" t="s">
        <v>77</v>
      </c>
      <c r="E9" t="s">
        <v>78</v>
      </c>
      <c r="F9" t="s">
        <v>31</v>
      </c>
      <c r="G9" t="s">
        <v>79</v>
      </c>
    </row>
    <row r="10" ht="18" customHeight="1" spans="1:8">
      <c r="A10" s="8" t="s">
        <v>34</v>
      </c>
      <c r="B10" s="20" t="s">
        <v>80</v>
      </c>
      <c r="C10" s="8" t="s">
        <v>81</v>
      </c>
      <c r="D10" s="8" t="s">
        <v>82</v>
      </c>
      <c r="E10" s="8" t="s">
        <v>73</v>
      </c>
      <c r="F10" s="8" t="s">
        <v>31</v>
      </c>
      <c r="G10" s="8" t="s">
        <v>83</v>
      </c>
      <c r="H10" s="8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85D04"/>
  </sheetPr>
  <dimension ref="A1:H14"/>
  <sheetViews>
    <sheetView workbookViewId="0">
      <selection activeCell="A1" sqref="A1"/>
    </sheetView>
  </sheetViews>
  <sheetFormatPr defaultColWidth="9" defaultRowHeight="15" outlineLevelCol="7"/>
  <cols>
    <col min="1" max="1" width="3" customWidth="1"/>
    <col min="2" max="2" width="5" customWidth="1"/>
    <col min="3" max="3" width="14" customWidth="1"/>
    <col min="4" max="4" width="18" customWidth="1"/>
    <col min="5" max="5" width="30" customWidth="1"/>
    <col min="6" max="6" width="36" customWidth="1"/>
    <col min="7" max="7" width="14" customWidth="1"/>
    <col min="8" max="8" width="16" customWidth="1"/>
  </cols>
  <sheetData>
    <row r="1" ht="22" customHeight="1" spans="1:8">
      <c r="A1" s="1" t="s">
        <v>84</v>
      </c>
      <c r="B1" s="2"/>
      <c r="C1" s="2"/>
      <c r="D1" s="2"/>
      <c r="E1" s="2"/>
      <c r="F1" s="2"/>
      <c r="G1" s="2"/>
      <c r="H1" s="2"/>
    </row>
    <row r="2" ht="22" customHeight="1" spans="1:8">
      <c r="A2" s="36" t="s">
        <v>85</v>
      </c>
      <c r="B2" s="37"/>
      <c r="C2" s="37"/>
      <c r="D2" s="37"/>
      <c r="E2" s="37"/>
      <c r="F2" s="37"/>
      <c r="G2" s="37"/>
      <c r="H2" s="37"/>
    </row>
    <row r="3" ht="22" customHeight="1" spans="1:8">
      <c r="A3" s="15" t="s">
        <v>86</v>
      </c>
      <c r="B3" s="16"/>
      <c r="C3" s="16"/>
      <c r="D3" s="16"/>
      <c r="E3" s="16"/>
      <c r="F3" s="16"/>
      <c r="G3" s="16"/>
      <c r="H3" s="16"/>
    </row>
    <row r="4" ht="32" customHeight="1" spans="1:8">
      <c r="A4" s="7" t="s">
        <v>3</v>
      </c>
      <c r="B4" s="7" t="s">
        <v>87</v>
      </c>
      <c r="C4" s="7" t="s">
        <v>6</v>
      </c>
      <c r="D4" s="7" t="s">
        <v>50</v>
      </c>
      <c r="E4" s="7" t="s">
        <v>88</v>
      </c>
      <c r="F4" s="7" t="s">
        <v>89</v>
      </c>
      <c r="G4" s="7" t="s">
        <v>53</v>
      </c>
      <c r="H4" s="7" t="s">
        <v>90</v>
      </c>
    </row>
    <row r="5" ht="18" customHeight="1" spans="1:7">
      <c r="A5" t="s">
        <v>11</v>
      </c>
      <c r="B5" t="s">
        <v>91</v>
      </c>
      <c r="C5" t="s">
        <v>92</v>
      </c>
      <c r="D5" t="s">
        <v>93</v>
      </c>
      <c r="E5" t="s">
        <v>94</v>
      </c>
      <c r="F5" t="s">
        <v>95</v>
      </c>
      <c r="G5" t="s">
        <v>96</v>
      </c>
    </row>
    <row r="6" ht="18" customHeight="1" spans="1:8">
      <c r="A6" s="8" t="s">
        <v>16</v>
      </c>
      <c r="B6" s="8" t="s">
        <v>91</v>
      </c>
      <c r="C6" s="8" t="s">
        <v>9</v>
      </c>
      <c r="D6" s="8" t="s">
        <v>97</v>
      </c>
      <c r="E6" s="8" t="s">
        <v>98</v>
      </c>
      <c r="F6" s="8" t="s">
        <v>99</v>
      </c>
      <c r="G6" s="8" t="s">
        <v>96</v>
      </c>
      <c r="H6" s="8"/>
    </row>
    <row r="7" ht="18" customHeight="1" spans="1:7">
      <c r="A7" t="s">
        <v>21</v>
      </c>
      <c r="B7" t="s">
        <v>100</v>
      </c>
      <c r="C7" t="s">
        <v>9</v>
      </c>
      <c r="D7" t="s">
        <v>101</v>
      </c>
      <c r="E7" t="s">
        <v>102</v>
      </c>
      <c r="F7" t="s">
        <v>99</v>
      </c>
      <c r="G7" t="s">
        <v>103</v>
      </c>
    </row>
    <row r="8" ht="18" customHeight="1" spans="1:8">
      <c r="A8" s="8" t="s">
        <v>26</v>
      </c>
      <c r="B8" s="8" t="s">
        <v>100</v>
      </c>
      <c r="C8" s="8" t="s">
        <v>9</v>
      </c>
      <c r="D8" s="8" t="s">
        <v>104</v>
      </c>
      <c r="E8" s="8" t="s">
        <v>105</v>
      </c>
      <c r="F8" s="8" t="s">
        <v>99</v>
      </c>
      <c r="G8" s="8" t="s">
        <v>96</v>
      </c>
      <c r="H8" s="8"/>
    </row>
    <row r="9" ht="18" customHeight="1" spans="1:7">
      <c r="A9" t="s">
        <v>31</v>
      </c>
      <c r="B9" t="s">
        <v>100</v>
      </c>
      <c r="C9" t="s">
        <v>9</v>
      </c>
      <c r="D9" t="s">
        <v>106</v>
      </c>
      <c r="E9" t="s">
        <v>107</v>
      </c>
      <c r="F9" t="s">
        <v>99</v>
      </c>
      <c r="G9" t="s">
        <v>103</v>
      </c>
    </row>
    <row r="10" ht="18" customHeight="1" spans="1:8">
      <c r="A10" s="8" t="s">
        <v>108</v>
      </c>
      <c r="B10" s="8" t="s">
        <v>109</v>
      </c>
      <c r="C10" s="8" t="s">
        <v>14</v>
      </c>
      <c r="D10" s="8" t="s">
        <v>110</v>
      </c>
      <c r="E10" s="8" t="s">
        <v>111</v>
      </c>
      <c r="F10" s="8" t="s">
        <v>95</v>
      </c>
      <c r="G10" s="8" t="s">
        <v>112</v>
      </c>
      <c r="H10" s="8"/>
    </row>
    <row r="11" ht="18" customHeight="1" spans="1:7">
      <c r="A11" t="s">
        <v>113</v>
      </c>
      <c r="B11" t="s">
        <v>109</v>
      </c>
      <c r="C11" t="s">
        <v>19</v>
      </c>
      <c r="D11" t="s">
        <v>114</v>
      </c>
      <c r="E11" t="s">
        <v>115</v>
      </c>
      <c r="F11" t="s">
        <v>99</v>
      </c>
      <c r="G11" t="s">
        <v>103</v>
      </c>
    </row>
    <row r="12" ht="18" customHeight="1" spans="1:8">
      <c r="A12" s="8" t="s">
        <v>116</v>
      </c>
      <c r="B12" s="8" t="s">
        <v>117</v>
      </c>
      <c r="C12" s="8" t="s">
        <v>24</v>
      </c>
      <c r="D12" s="8" t="s">
        <v>118</v>
      </c>
      <c r="E12" s="8" t="s">
        <v>119</v>
      </c>
      <c r="F12" s="8" t="s">
        <v>120</v>
      </c>
      <c r="G12" s="8" t="s">
        <v>121</v>
      </c>
      <c r="H12" s="8"/>
    </row>
    <row r="13" ht="18" customHeight="1" spans="1:7">
      <c r="A13" t="s">
        <v>122</v>
      </c>
      <c r="B13" t="s">
        <v>123</v>
      </c>
      <c r="C13" t="s">
        <v>34</v>
      </c>
      <c r="D13" t="s">
        <v>124</v>
      </c>
      <c r="E13" t="s">
        <v>125</v>
      </c>
      <c r="F13" t="s">
        <v>120</v>
      </c>
      <c r="G13" t="s">
        <v>126</v>
      </c>
    </row>
    <row r="14" ht="18" customHeight="1" spans="1:8">
      <c r="A14" s="8" t="s">
        <v>127</v>
      </c>
      <c r="B14" s="8" t="s">
        <v>128</v>
      </c>
      <c r="C14" s="8" t="s">
        <v>129</v>
      </c>
      <c r="D14" s="8" t="s">
        <v>130</v>
      </c>
      <c r="E14" s="8" t="s">
        <v>131</v>
      </c>
      <c r="F14" s="8" t="s">
        <v>132</v>
      </c>
      <c r="G14" s="8" t="s">
        <v>121</v>
      </c>
      <c r="H14" s="8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28B22"/>
  </sheetPr>
  <dimension ref="A1:K8"/>
  <sheetViews>
    <sheetView topLeftCell="A3" workbookViewId="0">
      <selection activeCell="K5" sqref="K5"/>
    </sheetView>
  </sheetViews>
  <sheetFormatPr defaultColWidth="9" defaultRowHeight="15" outlineLevelRow="7"/>
  <cols>
    <col min="1" max="1" width="3" customWidth="1"/>
    <col min="2" max="2" width="13" customWidth="1"/>
    <col min="3" max="3" width="16" customWidth="1"/>
    <col min="4" max="4" width="24" customWidth="1"/>
    <col min="5" max="8" width="13" customWidth="1"/>
    <col min="9" max="9" width="15" customWidth="1"/>
    <col min="10" max="10" width="13" customWidth="1"/>
    <col min="11" max="11" width="26" customWidth="1"/>
  </cols>
  <sheetData>
    <row r="1" ht="22" customHeight="1" spans="1:11">
      <c r="A1" s="1" t="s">
        <v>133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2" customHeight="1" spans="1:11">
      <c r="A2" s="34" t="s">
        <v>134</v>
      </c>
      <c r="B2" s="35"/>
      <c r="C2" s="35"/>
      <c r="D2" s="35"/>
      <c r="E2" s="35"/>
      <c r="F2" s="35"/>
      <c r="G2" s="35"/>
      <c r="H2" s="35"/>
      <c r="I2" s="35"/>
      <c r="J2" s="35"/>
      <c r="K2" s="35"/>
    </row>
    <row r="3" ht="22" customHeight="1" spans="1:11">
      <c r="A3" s="21" t="s">
        <v>135</v>
      </c>
      <c r="B3" s="22"/>
      <c r="C3" s="22"/>
      <c r="D3" s="22"/>
      <c r="E3" s="22"/>
      <c r="F3" s="22"/>
      <c r="G3" s="22"/>
      <c r="H3" s="22"/>
      <c r="I3" s="22"/>
      <c r="J3" s="22"/>
      <c r="K3" s="22"/>
    </row>
    <row r="4" ht="32" customHeight="1" spans="1:11">
      <c r="A4" s="7" t="s">
        <v>3</v>
      </c>
      <c r="B4" s="7" t="s">
        <v>136</v>
      </c>
      <c r="C4" s="7" t="s">
        <v>50</v>
      </c>
      <c r="D4" s="7" t="s">
        <v>137</v>
      </c>
      <c r="E4" s="7" t="s">
        <v>138</v>
      </c>
      <c r="F4" s="7" t="s">
        <v>139</v>
      </c>
      <c r="G4" s="7" t="s">
        <v>140</v>
      </c>
      <c r="H4" s="7" t="s">
        <v>141</v>
      </c>
      <c r="I4" s="7" t="s">
        <v>142</v>
      </c>
      <c r="J4" s="7" t="s">
        <v>143</v>
      </c>
      <c r="K4" s="7" t="s">
        <v>144</v>
      </c>
    </row>
    <row r="5" ht="18" customHeight="1" spans="2:11">
      <c r="B5" t="s">
        <v>145</v>
      </c>
      <c r="C5" t="s">
        <v>9</v>
      </c>
      <c r="D5" t="s">
        <v>146</v>
      </c>
      <c r="E5" s="23">
        <v>65000</v>
      </c>
      <c r="F5" s="23">
        <v>6500</v>
      </c>
      <c r="G5" s="23">
        <v>1500</v>
      </c>
      <c r="H5" s="23">
        <v>0</v>
      </c>
      <c r="I5" s="32">
        <f>E5-F5-G5-H5</f>
        <v>57000</v>
      </c>
      <c r="J5" t="s">
        <v>147</v>
      </c>
      <c r="K5" s="31" t="s">
        <v>148</v>
      </c>
    </row>
    <row r="6" ht="18" customHeight="1" spans="1:11">
      <c r="A6" s="8"/>
      <c r="B6" s="8"/>
      <c r="C6" s="8"/>
      <c r="D6" s="30" t="s">
        <v>149</v>
      </c>
      <c r="E6" s="8"/>
      <c r="F6" s="8"/>
      <c r="G6" s="8"/>
      <c r="H6" s="8"/>
      <c r="I6" s="8"/>
      <c r="J6" s="8"/>
      <c r="K6" s="8"/>
    </row>
    <row r="8" ht="22" customHeight="1" spans="1:11">
      <c r="A8" s="1" t="s">
        <v>150</v>
      </c>
      <c r="B8" s="2"/>
      <c r="C8" s="2"/>
      <c r="D8" s="2"/>
      <c r="E8" s="33">
        <f>SUM(E5:E7)</f>
        <v>65000</v>
      </c>
      <c r="F8" s="33">
        <f>SUM(F5:F7)</f>
        <v>6500</v>
      </c>
      <c r="G8" s="33">
        <f>SUM(G5:G7)</f>
        <v>1500</v>
      </c>
      <c r="H8" s="33">
        <f>SUM(H5:H7)</f>
        <v>0</v>
      </c>
      <c r="I8" s="33">
        <f>SUM(I5:I7)</f>
        <v>57000</v>
      </c>
      <c r="J8" s="2"/>
      <c r="K8" s="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8080"/>
  </sheetPr>
  <dimension ref="A1:K8"/>
  <sheetViews>
    <sheetView workbookViewId="0">
      <selection activeCell="A1" sqref="A1"/>
    </sheetView>
  </sheetViews>
  <sheetFormatPr defaultColWidth="9" defaultRowHeight="15" outlineLevelRow="7"/>
  <cols>
    <col min="1" max="1" width="3" customWidth="1"/>
    <col min="2" max="2" width="13" customWidth="1"/>
    <col min="3" max="3" width="22" customWidth="1"/>
    <col min="4" max="4" width="24" customWidth="1"/>
    <col min="5" max="5" width="8" customWidth="1"/>
    <col min="6" max="6" width="13" customWidth="1"/>
    <col min="7" max="7" width="14" customWidth="1"/>
    <col min="8" max="9" width="13" customWidth="1"/>
    <col min="10" max="10" width="16" customWidth="1"/>
    <col min="11" max="11" width="26" customWidth="1"/>
  </cols>
  <sheetData>
    <row r="1" ht="22" customHeight="1" spans="1:11">
      <c r="A1" s="1" t="s">
        <v>151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2" customHeight="1" spans="1:11">
      <c r="A2" s="21" t="s">
        <v>152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3" ht="22" customHeight="1" spans="1:11">
      <c r="A3" s="5" t="s">
        <v>153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 ht="32" customHeight="1" spans="1:11">
      <c r="A4" s="7" t="s">
        <v>3</v>
      </c>
      <c r="B4" s="7" t="s">
        <v>136</v>
      </c>
      <c r="C4" s="7" t="s">
        <v>154</v>
      </c>
      <c r="D4" s="7" t="s">
        <v>155</v>
      </c>
      <c r="E4" s="7" t="s">
        <v>156</v>
      </c>
      <c r="F4" s="7" t="s">
        <v>157</v>
      </c>
      <c r="G4" s="7" t="s">
        <v>158</v>
      </c>
      <c r="H4" s="7" t="s">
        <v>159</v>
      </c>
      <c r="I4" s="7" t="s">
        <v>160</v>
      </c>
      <c r="J4" s="7" t="s">
        <v>53</v>
      </c>
      <c r="K4" s="7" t="s">
        <v>55</v>
      </c>
    </row>
    <row r="5" ht="18" customHeight="1" spans="2:11">
      <c r="B5" t="s">
        <v>145</v>
      </c>
      <c r="C5" t="s">
        <v>161</v>
      </c>
      <c r="D5" t="s">
        <v>162</v>
      </c>
      <c r="E5">
        <v>10</v>
      </c>
      <c r="F5" s="23">
        <v>6500</v>
      </c>
      <c r="G5" s="32">
        <f>E5*F5</f>
        <v>65000</v>
      </c>
      <c r="H5" s="23">
        <v>65000</v>
      </c>
      <c r="I5" s="23">
        <f>G5-H5</f>
        <v>0</v>
      </c>
      <c r="J5" t="s">
        <v>163</v>
      </c>
      <c r="K5" s="31" t="s">
        <v>164</v>
      </c>
    </row>
    <row r="6" ht="18" customHeight="1" spans="1:11">
      <c r="A6" s="8"/>
      <c r="B6" s="8"/>
      <c r="C6" s="8"/>
      <c r="D6" s="30" t="s">
        <v>149</v>
      </c>
      <c r="E6" s="8"/>
      <c r="F6" s="8"/>
      <c r="G6" s="8"/>
      <c r="H6" s="8"/>
      <c r="I6" s="8"/>
      <c r="J6" s="8"/>
      <c r="K6" s="8"/>
    </row>
    <row r="8" ht="22" customHeight="1" spans="1:11">
      <c r="A8" s="1" t="s">
        <v>150</v>
      </c>
      <c r="B8" s="2"/>
      <c r="C8" s="2"/>
      <c r="D8" s="2"/>
      <c r="E8" s="2"/>
      <c r="F8" s="2"/>
      <c r="G8" s="33">
        <f>SUM(G5:G7)</f>
        <v>65000</v>
      </c>
      <c r="H8" s="33">
        <f>SUM(H5:H7)</f>
        <v>65000</v>
      </c>
      <c r="I8" s="33">
        <f>SUM(I5:I7)</f>
        <v>0</v>
      </c>
      <c r="J8" s="2"/>
      <c r="K8" s="2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80078"/>
  </sheetPr>
  <dimension ref="A1:I6"/>
  <sheetViews>
    <sheetView topLeftCell="A15" workbookViewId="0">
      <selection activeCell="I22" sqref="I22"/>
    </sheetView>
  </sheetViews>
  <sheetFormatPr defaultColWidth="9" defaultRowHeight="15" outlineLevelRow="5"/>
  <cols>
    <col min="1" max="1" width="3" customWidth="1"/>
    <col min="2" max="2" width="10" customWidth="1"/>
    <col min="3" max="3" width="22" customWidth="1"/>
    <col min="4" max="4" width="16" customWidth="1"/>
    <col min="5" max="5" width="18" customWidth="1"/>
    <col min="6" max="6" width="28" customWidth="1"/>
    <col min="7" max="8" width="16" customWidth="1"/>
    <col min="9" max="9" width="30" customWidth="1"/>
  </cols>
  <sheetData>
    <row r="1" ht="22" customHeight="1" spans="1:9">
      <c r="A1" s="1" t="s">
        <v>165</v>
      </c>
      <c r="B1" s="2"/>
      <c r="C1" s="2"/>
      <c r="D1" s="2"/>
      <c r="E1" s="2"/>
      <c r="F1" s="2"/>
      <c r="G1" s="2"/>
      <c r="H1" s="2"/>
      <c r="I1" s="2"/>
    </row>
    <row r="2" ht="22" customHeight="1" spans="1:9">
      <c r="A2" s="28" t="s">
        <v>166</v>
      </c>
      <c r="B2" s="29"/>
      <c r="C2" s="29"/>
      <c r="D2" s="29"/>
      <c r="E2" s="29"/>
      <c r="F2" s="29"/>
      <c r="G2" s="29"/>
      <c r="H2" s="29"/>
      <c r="I2" s="29"/>
    </row>
    <row r="3" ht="22" customHeight="1" spans="1:9">
      <c r="A3" s="5" t="s">
        <v>167</v>
      </c>
      <c r="B3" s="6"/>
      <c r="C3" s="6"/>
      <c r="D3" s="6"/>
      <c r="E3" s="6"/>
      <c r="F3" s="6"/>
      <c r="G3" s="6"/>
      <c r="H3" s="6"/>
      <c r="I3" s="6"/>
    </row>
    <row r="4" ht="32" customHeight="1" spans="1:9">
      <c r="A4" s="7" t="s">
        <v>3</v>
      </c>
      <c r="B4" s="7" t="s">
        <v>168</v>
      </c>
      <c r="C4" s="7" t="s">
        <v>154</v>
      </c>
      <c r="D4" s="7" t="s">
        <v>169</v>
      </c>
      <c r="E4" s="7" t="s">
        <v>170</v>
      </c>
      <c r="F4" s="7" t="s">
        <v>171</v>
      </c>
      <c r="G4" s="7" t="s">
        <v>172</v>
      </c>
      <c r="H4" s="7" t="s">
        <v>53</v>
      </c>
      <c r="I4" s="7" t="s">
        <v>55</v>
      </c>
    </row>
    <row r="5" ht="18" customHeight="1" spans="1:9">
      <c r="A5" t="s">
        <v>173</v>
      </c>
      <c r="B5" t="s">
        <v>161</v>
      </c>
      <c r="C5" t="s">
        <v>174</v>
      </c>
      <c r="D5" t="s">
        <v>175</v>
      </c>
      <c r="E5" t="s">
        <v>176</v>
      </c>
      <c r="F5" t="s">
        <v>96</v>
      </c>
      <c r="G5" t="s">
        <v>177</v>
      </c>
      <c r="H5" t="s">
        <v>178</v>
      </c>
      <c r="I5" s="31"/>
    </row>
    <row r="6" ht="18" customHeight="1" spans="1:9">
      <c r="A6" s="8"/>
      <c r="B6" s="8"/>
      <c r="C6" s="30" t="s">
        <v>179</v>
      </c>
      <c r="D6" s="8"/>
      <c r="E6" s="8"/>
      <c r="F6" s="8"/>
      <c r="G6" s="8"/>
      <c r="H6" s="8"/>
      <c r="I6" s="8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41E1E"/>
  </sheetPr>
  <dimension ref="A1:J20"/>
  <sheetViews>
    <sheetView workbookViewId="0">
      <selection activeCell="A1" sqref="A1"/>
    </sheetView>
  </sheetViews>
  <sheetFormatPr defaultColWidth="9" defaultRowHeight="15"/>
  <cols>
    <col min="1" max="1" width="3" customWidth="1"/>
    <col min="2" max="2" width="8" customWidth="1"/>
    <col min="3" max="3" width="26" customWidth="1"/>
    <col min="4" max="4" width="20" customWidth="1"/>
    <col min="5" max="6" width="14" customWidth="1"/>
    <col min="7" max="7" width="16" customWidth="1"/>
    <col min="8" max="8" width="10" customWidth="1"/>
    <col min="9" max="9" width="13" customWidth="1"/>
    <col min="10" max="10" width="26" customWidth="1"/>
  </cols>
  <sheetData>
    <row r="1" ht="22" customHeight="1" spans="1:10">
      <c r="A1" s="1" t="s">
        <v>180</v>
      </c>
      <c r="B1" s="2"/>
      <c r="C1" s="2"/>
      <c r="D1" s="2"/>
      <c r="E1" s="2"/>
      <c r="F1" s="2"/>
      <c r="G1" s="2"/>
      <c r="H1" s="2"/>
      <c r="I1" s="2"/>
      <c r="J1" s="2"/>
    </row>
    <row r="2" ht="22" customHeight="1" spans="1:10">
      <c r="A2" s="15" t="s">
        <v>181</v>
      </c>
      <c r="B2" s="16"/>
      <c r="C2" s="16"/>
      <c r="D2" s="16"/>
      <c r="E2" s="16"/>
      <c r="F2" s="16"/>
      <c r="G2" s="16"/>
      <c r="H2" s="16"/>
      <c r="I2" s="16"/>
      <c r="J2" s="16"/>
    </row>
    <row r="3" ht="22" customHeight="1" spans="1:10">
      <c r="A3" s="21" t="s">
        <v>182</v>
      </c>
      <c r="B3" s="22"/>
      <c r="C3" s="22"/>
      <c r="D3" s="22"/>
      <c r="E3" s="22"/>
      <c r="F3" s="22"/>
      <c r="G3" s="22"/>
      <c r="H3" s="22"/>
      <c r="I3" s="22"/>
      <c r="J3" s="22"/>
    </row>
    <row r="4" ht="32" customHeight="1" spans="1:10">
      <c r="A4" s="7" t="s">
        <v>3</v>
      </c>
      <c r="B4" s="7" t="s">
        <v>183</v>
      </c>
      <c r="C4" s="7" t="s">
        <v>155</v>
      </c>
      <c r="D4" s="7" t="s">
        <v>184</v>
      </c>
      <c r="E4" s="7" t="s">
        <v>185</v>
      </c>
      <c r="F4" s="7" t="s">
        <v>186</v>
      </c>
      <c r="G4" s="7" t="s">
        <v>187</v>
      </c>
      <c r="H4" s="7" t="s">
        <v>188</v>
      </c>
      <c r="I4" s="7" t="s">
        <v>189</v>
      </c>
      <c r="J4" s="7" t="s">
        <v>190</v>
      </c>
    </row>
    <row r="5" ht="18" customHeight="1" spans="2:10">
      <c r="B5" t="s">
        <v>191</v>
      </c>
      <c r="C5" t="s">
        <v>192</v>
      </c>
      <c r="D5" t="s">
        <v>193</v>
      </c>
      <c r="E5" s="23">
        <v>6500</v>
      </c>
      <c r="F5" s="23">
        <v>2200</v>
      </c>
      <c r="G5" t="s">
        <v>194</v>
      </c>
      <c r="H5" t="s">
        <v>195</v>
      </c>
      <c r="I5" s="25">
        <v>0.662</v>
      </c>
      <c r="J5" t="s">
        <v>196</v>
      </c>
    </row>
    <row r="6" ht="18" customHeight="1" spans="1:10">
      <c r="A6" s="8"/>
      <c r="B6" s="8" t="s">
        <v>197</v>
      </c>
      <c r="C6" s="8" t="s">
        <v>198</v>
      </c>
      <c r="D6" s="8" t="s">
        <v>199</v>
      </c>
      <c r="E6" s="24">
        <v>22500</v>
      </c>
      <c r="F6" s="24">
        <v>8500</v>
      </c>
      <c r="G6" s="8" t="s">
        <v>200</v>
      </c>
      <c r="H6" s="8" t="s">
        <v>201</v>
      </c>
      <c r="I6" s="26">
        <v>0.622</v>
      </c>
      <c r="J6" s="8" t="s">
        <v>202</v>
      </c>
    </row>
    <row r="7" ht="18" customHeight="1" spans="2:10">
      <c r="B7" t="s">
        <v>203</v>
      </c>
      <c r="C7" t="s">
        <v>204</v>
      </c>
      <c r="D7" t="s">
        <v>205</v>
      </c>
      <c r="E7" s="23">
        <v>7500</v>
      </c>
      <c r="F7" s="23">
        <v>2800</v>
      </c>
      <c r="G7" t="s">
        <v>206</v>
      </c>
      <c r="H7" t="s">
        <v>195</v>
      </c>
      <c r="I7" s="25">
        <v>0.627</v>
      </c>
      <c r="J7" t="s">
        <v>207</v>
      </c>
    </row>
    <row r="8" ht="18" customHeight="1" spans="1:10">
      <c r="A8" s="8"/>
      <c r="B8" s="8" t="s">
        <v>208</v>
      </c>
      <c r="C8" s="8" t="s">
        <v>209</v>
      </c>
      <c r="D8" s="8" t="s">
        <v>210</v>
      </c>
      <c r="E8" s="24">
        <v>15000</v>
      </c>
      <c r="F8" s="24">
        <v>5500</v>
      </c>
      <c r="G8" s="8" t="s">
        <v>211</v>
      </c>
      <c r="H8" s="8" t="s">
        <v>195</v>
      </c>
      <c r="I8" s="26">
        <v>0.633</v>
      </c>
      <c r="J8" s="8" t="s">
        <v>212</v>
      </c>
    </row>
    <row r="9" ht="18" customHeight="1" spans="2:10">
      <c r="B9" t="s">
        <v>213</v>
      </c>
      <c r="C9" t="s">
        <v>214</v>
      </c>
      <c r="D9" t="s">
        <v>215</v>
      </c>
      <c r="E9" s="23">
        <v>5500</v>
      </c>
      <c r="F9" s="23">
        <v>1800</v>
      </c>
      <c r="G9" t="s">
        <v>216</v>
      </c>
      <c r="H9" t="s">
        <v>217</v>
      </c>
      <c r="I9" s="25">
        <v>0.673</v>
      </c>
      <c r="J9" t="s">
        <v>218</v>
      </c>
    </row>
    <row r="10" ht="18" customHeight="1" spans="1:10">
      <c r="A10" s="8"/>
      <c r="B10" s="8" t="s">
        <v>219</v>
      </c>
      <c r="C10" s="8" t="s">
        <v>220</v>
      </c>
      <c r="D10" s="8" t="s">
        <v>215</v>
      </c>
      <c r="E10" s="24">
        <v>12500</v>
      </c>
      <c r="F10" s="24">
        <v>4500</v>
      </c>
      <c r="G10" s="8" t="s">
        <v>221</v>
      </c>
      <c r="H10" s="8" t="s">
        <v>217</v>
      </c>
      <c r="I10" s="26">
        <v>0.64</v>
      </c>
      <c r="J10" s="8" t="s">
        <v>222</v>
      </c>
    </row>
    <row r="11" ht="18" customHeight="1" spans="2:10">
      <c r="B11" t="s">
        <v>223</v>
      </c>
      <c r="C11" t="s">
        <v>224</v>
      </c>
      <c r="D11" t="s">
        <v>225</v>
      </c>
      <c r="E11" s="23">
        <v>4000</v>
      </c>
      <c r="F11" s="23">
        <v>1200</v>
      </c>
      <c r="G11" t="s">
        <v>226</v>
      </c>
      <c r="H11" t="s">
        <v>217</v>
      </c>
      <c r="I11" s="25">
        <v>0.7</v>
      </c>
      <c r="J11" t="s">
        <v>227</v>
      </c>
    </row>
    <row r="12" ht="18" customHeight="1" spans="1:10">
      <c r="A12" s="8"/>
      <c r="B12" s="8" t="s">
        <v>228</v>
      </c>
      <c r="C12" s="8" t="s">
        <v>229</v>
      </c>
      <c r="D12" s="8" t="s">
        <v>230</v>
      </c>
      <c r="E12" s="24">
        <v>9500</v>
      </c>
      <c r="F12" s="24">
        <v>3500</v>
      </c>
      <c r="G12" s="8" t="s">
        <v>231</v>
      </c>
      <c r="H12" s="8" t="s">
        <v>195</v>
      </c>
      <c r="I12" s="26">
        <v>0.632</v>
      </c>
      <c r="J12" s="8" t="s">
        <v>232</v>
      </c>
    </row>
    <row r="13" ht="18" customHeight="1" spans="2:10">
      <c r="B13" t="s">
        <v>233</v>
      </c>
      <c r="C13" t="s">
        <v>234</v>
      </c>
      <c r="D13" t="s">
        <v>235</v>
      </c>
      <c r="E13" s="23">
        <v>55000</v>
      </c>
      <c r="F13" s="23">
        <v>18000</v>
      </c>
      <c r="G13" t="s">
        <v>236</v>
      </c>
      <c r="H13" t="s">
        <v>201</v>
      </c>
      <c r="I13" s="25">
        <v>0.673</v>
      </c>
      <c r="J13" t="s">
        <v>237</v>
      </c>
    </row>
    <row r="14" ht="18" customHeight="1" spans="1:10">
      <c r="A14" s="8"/>
      <c r="B14" s="8" t="s">
        <v>238</v>
      </c>
      <c r="C14" s="8" t="s">
        <v>239</v>
      </c>
      <c r="D14" s="8" t="s">
        <v>240</v>
      </c>
      <c r="E14" s="24">
        <v>26000</v>
      </c>
      <c r="F14" s="24">
        <v>9500</v>
      </c>
      <c r="G14" s="8" t="s">
        <v>241</v>
      </c>
      <c r="H14" s="8" t="s">
        <v>201</v>
      </c>
      <c r="I14" s="26">
        <v>0.635</v>
      </c>
      <c r="J14" s="8" t="s">
        <v>242</v>
      </c>
    </row>
    <row r="15" ht="18" customHeight="1" spans="2:10">
      <c r="B15" t="s">
        <v>243</v>
      </c>
      <c r="C15" t="s">
        <v>244</v>
      </c>
      <c r="D15" t="s">
        <v>245</v>
      </c>
      <c r="E15" s="23">
        <v>8500</v>
      </c>
      <c r="F15" s="23">
        <v>2800</v>
      </c>
      <c r="G15" t="s">
        <v>246</v>
      </c>
      <c r="H15" t="s">
        <v>195</v>
      </c>
      <c r="I15" s="25">
        <v>0.671</v>
      </c>
      <c r="J15" t="s">
        <v>247</v>
      </c>
    </row>
    <row r="16" ht="18" customHeight="1" spans="1:10">
      <c r="A16" s="8"/>
      <c r="B16" s="8" t="s">
        <v>248</v>
      </c>
      <c r="C16" s="8" t="s">
        <v>249</v>
      </c>
      <c r="D16" s="8" t="s">
        <v>245</v>
      </c>
      <c r="E16" s="24">
        <v>11000</v>
      </c>
      <c r="F16" s="24">
        <v>3800</v>
      </c>
      <c r="G16" s="8" t="s">
        <v>250</v>
      </c>
      <c r="H16" s="8" t="s">
        <v>195</v>
      </c>
      <c r="I16" s="26">
        <v>0.655</v>
      </c>
      <c r="J16" s="8" t="s">
        <v>247</v>
      </c>
    </row>
    <row r="17" ht="18" customHeight="1" spans="2:10">
      <c r="B17" t="s">
        <v>251</v>
      </c>
      <c r="C17" t="s">
        <v>252</v>
      </c>
      <c r="D17" t="s">
        <v>253</v>
      </c>
      <c r="E17" s="23">
        <v>5500</v>
      </c>
      <c r="F17" s="23">
        <v>1500</v>
      </c>
      <c r="G17" t="s">
        <v>254</v>
      </c>
      <c r="H17" t="s">
        <v>217</v>
      </c>
      <c r="I17" s="25">
        <v>0.727</v>
      </c>
      <c r="J17" t="s">
        <v>255</v>
      </c>
    </row>
    <row r="18" ht="18" customHeight="1" spans="1:10">
      <c r="A18" s="8"/>
      <c r="B18" s="8" t="s">
        <v>256</v>
      </c>
      <c r="C18" s="8" t="s">
        <v>257</v>
      </c>
      <c r="D18" s="8" t="s">
        <v>258</v>
      </c>
      <c r="E18" s="24">
        <v>3500</v>
      </c>
      <c r="F18" s="24">
        <v>800</v>
      </c>
      <c r="G18" s="8" t="s">
        <v>259</v>
      </c>
      <c r="H18" s="8" t="s">
        <v>217</v>
      </c>
      <c r="I18" s="26">
        <v>0.771</v>
      </c>
      <c r="J18" s="8" t="s">
        <v>260</v>
      </c>
    </row>
    <row r="19" ht="18" customHeight="1" spans="2:10">
      <c r="B19" t="s">
        <v>261</v>
      </c>
      <c r="C19" t="s">
        <v>262</v>
      </c>
      <c r="D19" t="s">
        <v>263</v>
      </c>
      <c r="E19" s="23">
        <v>18000</v>
      </c>
      <c r="F19" s="23">
        <v>6500</v>
      </c>
      <c r="G19" t="s">
        <v>194</v>
      </c>
      <c r="H19" t="s">
        <v>195</v>
      </c>
      <c r="I19" s="25">
        <v>0.639</v>
      </c>
      <c r="J19" t="s">
        <v>264</v>
      </c>
    </row>
    <row r="20" ht="22" customHeight="1" spans="1:10">
      <c r="A20" s="1" t="s">
        <v>265</v>
      </c>
      <c r="B20" s="2"/>
      <c r="C20" s="2"/>
      <c r="D20" s="2"/>
      <c r="E20" s="2"/>
      <c r="F20" s="2"/>
      <c r="G20" s="2"/>
      <c r="H20" s="2"/>
      <c r="I20" s="27">
        <f>AVERAGE(I5:I19)</f>
        <v>0.664</v>
      </c>
      <c r="J20" s="2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B5A2B"/>
  </sheetPr>
  <dimension ref="A1:G15"/>
  <sheetViews>
    <sheetView tabSelected="1" workbookViewId="0">
      <selection activeCell="A4" sqref="A4"/>
    </sheetView>
  </sheetViews>
  <sheetFormatPr defaultColWidth="9" defaultRowHeight="15" outlineLevelCol="6"/>
  <cols>
    <col min="1" max="1" width="3" customWidth="1"/>
    <col min="2" max="2" width="18" customWidth="1"/>
    <col min="3" max="3" width="42" customWidth="1"/>
    <col min="4" max="4" width="30" customWidth="1"/>
    <col min="5" max="5" width="12" customWidth="1"/>
    <col min="6" max="6" width="28" customWidth="1"/>
    <col min="7" max="7" width="26" customWidth="1"/>
  </cols>
  <sheetData>
    <row r="1" ht="22" customHeight="1" spans="1:7">
      <c r="A1" s="1" t="s">
        <v>266</v>
      </c>
      <c r="B1" s="2"/>
      <c r="C1" s="2"/>
      <c r="D1" s="2"/>
      <c r="E1" s="2"/>
      <c r="F1" s="2"/>
      <c r="G1" s="2"/>
    </row>
    <row r="2" ht="22" customHeight="1" spans="1:7">
      <c r="A2" s="17" t="s">
        <v>267</v>
      </c>
      <c r="B2" s="18"/>
      <c r="C2" s="18"/>
      <c r="D2" s="18"/>
      <c r="E2" s="18"/>
      <c r="F2" s="18"/>
      <c r="G2" s="18"/>
    </row>
    <row r="3" ht="22" customHeight="1" spans="1:7">
      <c r="A3" s="5" t="s">
        <v>268</v>
      </c>
      <c r="B3" s="6"/>
      <c r="C3" s="6"/>
      <c r="D3" s="6"/>
      <c r="E3" s="6"/>
      <c r="F3" s="6"/>
      <c r="G3" s="6"/>
    </row>
    <row r="4" ht="32" customHeight="1" spans="1:7">
      <c r="A4" s="7" t="s">
        <v>3</v>
      </c>
      <c r="B4" s="7" t="s">
        <v>269</v>
      </c>
      <c r="C4" s="7" t="s">
        <v>270</v>
      </c>
      <c r="D4" s="7" t="s">
        <v>271</v>
      </c>
      <c r="E4" s="7" t="s">
        <v>53</v>
      </c>
      <c r="F4" s="7" t="s">
        <v>272</v>
      </c>
      <c r="G4" s="7" t="s">
        <v>55</v>
      </c>
    </row>
    <row r="5" ht="18" customHeight="1" spans="1:6">
      <c r="A5" t="s">
        <v>92</v>
      </c>
      <c r="B5" s="19" t="s">
        <v>273</v>
      </c>
      <c r="C5" t="s">
        <v>274</v>
      </c>
      <c r="D5" t="s">
        <v>275</v>
      </c>
      <c r="E5" t="s">
        <v>276</v>
      </c>
      <c r="F5" t="s">
        <v>277</v>
      </c>
    </row>
    <row r="6" ht="18" customHeight="1" spans="1:7">
      <c r="A6" s="8" t="s">
        <v>278</v>
      </c>
      <c r="B6" s="20" t="s">
        <v>279</v>
      </c>
      <c r="C6" s="8" t="s">
        <v>280</v>
      </c>
      <c r="D6" s="8" t="s">
        <v>275</v>
      </c>
      <c r="E6" s="8" t="s">
        <v>281</v>
      </c>
      <c r="F6" s="8" t="s">
        <v>282</v>
      </c>
      <c r="G6" s="8"/>
    </row>
    <row r="7" ht="18" customHeight="1" spans="1:6">
      <c r="A7" t="s">
        <v>9</v>
      </c>
      <c r="B7" s="19" t="s">
        <v>283</v>
      </c>
      <c r="C7" t="s">
        <v>284</v>
      </c>
      <c r="D7" t="s">
        <v>275</v>
      </c>
      <c r="E7" t="s">
        <v>285</v>
      </c>
      <c r="F7" t="s">
        <v>286</v>
      </c>
    </row>
    <row r="8" ht="18" customHeight="1" spans="1:7">
      <c r="A8" s="8" t="s">
        <v>19</v>
      </c>
      <c r="B8" s="20" t="s">
        <v>287</v>
      </c>
      <c r="C8" s="8" t="s">
        <v>288</v>
      </c>
      <c r="D8" s="8" t="s">
        <v>275</v>
      </c>
      <c r="E8" s="8" t="s">
        <v>289</v>
      </c>
      <c r="F8" s="8" t="s">
        <v>290</v>
      </c>
      <c r="G8" s="8"/>
    </row>
    <row r="9" ht="18" customHeight="1" spans="1:6">
      <c r="A9" t="s">
        <v>24</v>
      </c>
      <c r="B9" s="19" t="s">
        <v>291</v>
      </c>
      <c r="C9" t="s">
        <v>292</v>
      </c>
      <c r="D9" t="s">
        <v>99</v>
      </c>
      <c r="E9" t="s">
        <v>293</v>
      </c>
      <c r="F9" t="s">
        <v>294</v>
      </c>
    </row>
    <row r="10" ht="18" customHeight="1" spans="1:7">
      <c r="A10" s="8" t="s">
        <v>29</v>
      </c>
      <c r="B10" s="20" t="s">
        <v>295</v>
      </c>
      <c r="C10" s="8" t="s">
        <v>296</v>
      </c>
      <c r="D10" s="8" t="s">
        <v>297</v>
      </c>
      <c r="E10" s="8" t="s">
        <v>298</v>
      </c>
      <c r="F10" s="8" t="s">
        <v>299</v>
      </c>
      <c r="G10" s="8"/>
    </row>
    <row r="11" ht="18" customHeight="1" spans="1:6">
      <c r="A11" t="s">
        <v>34</v>
      </c>
      <c r="B11" s="19" t="s">
        <v>300</v>
      </c>
      <c r="C11" t="s">
        <v>301</v>
      </c>
      <c r="D11" t="s">
        <v>297</v>
      </c>
      <c r="E11" t="s">
        <v>298</v>
      </c>
      <c r="F11" t="s">
        <v>302</v>
      </c>
    </row>
    <row r="12" ht="18" customHeight="1" spans="1:7">
      <c r="A12" s="8" t="s">
        <v>303</v>
      </c>
      <c r="B12" s="20" t="s">
        <v>304</v>
      </c>
      <c r="C12" s="8" t="s">
        <v>305</v>
      </c>
      <c r="D12" s="8" t="s">
        <v>275</v>
      </c>
      <c r="E12" s="8" t="s">
        <v>306</v>
      </c>
      <c r="F12" s="8" t="s">
        <v>307</v>
      </c>
      <c r="G12" s="8"/>
    </row>
    <row r="13" ht="18" customHeight="1" spans="1:6">
      <c r="A13" t="s">
        <v>38</v>
      </c>
      <c r="B13" s="19" t="s">
        <v>308</v>
      </c>
      <c r="C13" t="s">
        <v>309</v>
      </c>
      <c r="D13" t="s">
        <v>275</v>
      </c>
      <c r="E13" t="s">
        <v>310</v>
      </c>
      <c r="F13" t="s">
        <v>311</v>
      </c>
    </row>
    <row r="14" ht="18" customHeight="1" spans="1:7">
      <c r="A14" s="8" t="s">
        <v>312</v>
      </c>
      <c r="B14" s="20" t="s">
        <v>313</v>
      </c>
      <c r="C14" s="8" t="s">
        <v>314</v>
      </c>
      <c r="D14" s="8" t="s">
        <v>275</v>
      </c>
      <c r="E14" s="8" t="s">
        <v>315</v>
      </c>
      <c r="F14" s="8" t="s">
        <v>316</v>
      </c>
      <c r="G14" s="8"/>
    </row>
    <row r="15" ht="18" customHeight="1" spans="1:6">
      <c r="A15" t="s">
        <v>317</v>
      </c>
      <c r="B15" s="19" t="s">
        <v>318</v>
      </c>
      <c r="C15" t="s">
        <v>319</v>
      </c>
      <c r="D15" t="s">
        <v>275</v>
      </c>
      <c r="E15" t="s">
        <v>320</v>
      </c>
      <c r="F15" t="s">
        <v>321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DC5014"/>
  </sheetPr>
  <dimension ref="A1:H14"/>
  <sheetViews>
    <sheetView workbookViewId="0">
      <selection activeCell="A1" sqref="A1"/>
    </sheetView>
  </sheetViews>
  <sheetFormatPr defaultColWidth="9" defaultRowHeight="15" outlineLevelCol="7"/>
  <cols>
    <col min="1" max="1" width="3" customWidth="1"/>
    <col min="2" max="2" width="13" customWidth="1"/>
    <col min="3" max="3" width="18" customWidth="1"/>
    <col min="4" max="4" width="36" customWidth="1"/>
    <col min="5" max="5" width="14" customWidth="1"/>
    <col min="6" max="6" width="16" customWidth="1"/>
    <col min="7" max="8" width="28" customWidth="1"/>
  </cols>
  <sheetData>
    <row r="1" ht="22" customHeight="1" spans="1:8">
      <c r="A1" s="1" t="s">
        <v>322</v>
      </c>
      <c r="B1" s="2"/>
      <c r="C1" s="2"/>
      <c r="D1" s="2"/>
      <c r="E1" s="2"/>
      <c r="F1" s="2"/>
      <c r="G1" s="2"/>
      <c r="H1" s="2"/>
    </row>
    <row r="2" ht="22" customHeight="1" spans="1:8">
      <c r="A2" s="13" t="s">
        <v>323</v>
      </c>
      <c r="B2" s="14"/>
      <c r="C2" s="14"/>
      <c r="D2" s="14"/>
      <c r="E2" s="14"/>
      <c r="F2" s="14"/>
      <c r="G2" s="14"/>
      <c r="H2" s="14"/>
    </row>
    <row r="3" ht="22" customHeight="1" spans="1:8">
      <c r="A3" s="15" t="s">
        <v>324</v>
      </c>
      <c r="B3" s="16"/>
      <c r="C3" s="16"/>
      <c r="D3" s="16"/>
      <c r="E3" s="16"/>
      <c r="F3" s="16"/>
      <c r="G3" s="16"/>
      <c r="H3" s="16"/>
    </row>
    <row r="4" ht="32" customHeight="1" spans="1:8">
      <c r="A4" s="7" t="s">
        <v>3</v>
      </c>
      <c r="B4" s="7" t="s">
        <v>136</v>
      </c>
      <c r="C4" s="7" t="s">
        <v>50</v>
      </c>
      <c r="D4" s="7" t="s">
        <v>88</v>
      </c>
      <c r="E4" s="7" t="s">
        <v>6</v>
      </c>
      <c r="F4" s="7" t="s">
        <v>53</v>
      </c>
      <c r="G4" s="7" t="s">
        <v>325</v>
      </c>
      <c r="H4" s="7" t="s">
        <v>55</v>
      </c>
    </row>
    <row r="5" ht="18" customHeight="1" spans="1:7">
      <c r="A5" t="s">
        <v>145</v>
      </c>
      <c r="B5" t="s">
        <v>92</v>
      </c>
      <c r="C5" t="s">
        <v>326</v>
      </c>
      <c r="D5" t="s">
        <v>91</v>
      </c>
      <c r="E5" t="s">
        <v>95</v>
      </c>
      <c r="F5" t="s">
        <v>327</v>
      </c>
      <c r="G5" t="s">
        <v>328</v>
      </c>
    </row>
    <row r="6" ht="18" customHeight="1" spans="1:8">
      <c r="A6" s="8" t="s">
        <v>145</v>
      </c>
      <c r="B6" s="8" t="s">
        <v>9</v>
      </c>
      <c r="C6" s="8" t="s">
        <v>329</v>
      </c>
      <c r="D6" s="8" t="s">
        <v>91</v>
      </c>
      <c r="E6" s="8" t="s">
        <v>99</v>
      </c>
      <c r="F6" s="8" t="s">
        <v>330</v>
      </c>
      <c r="G6" s="8" t="s">
        <v>331</v>
      </c>
      <c r="H6" s="8"/>
    </row>
    <row r="7" ht="18" customHeight="1" spans="1:7">
      <c r="A7" t="s">
        <v>145</v>
      </c>
      <c r="B7" t="s">
        <v>9</v>
      </c>
      <c r="C7" t="s">
        <v>332</v>
      </c>
      <c r="D7" t="s">
        <v>100</v>
      </c>
      <c r="E7" t="s">
        <v>99</v>
      </c>
      <c r="F7" t="s">
        <v>333</v>
      </c>
      <c r="G7" t="s">
        <v>334</v>
      </c>
    </row>
    <row r="8" ht="18" customHeight="1" spans="1:8">
      <c r="A8" s="8" t="s">
        <v>145</v>
      </c>
      <c r="B8" s="8" t="s">
        <v>9</v>
      </c>
      <c r="C8" s="8" t="s">
        <v>335</v>
      </c>
      <c r="D8" s="8" t="s">
        <v>100</v>
      </c>
      <c r="E8" s="8" t="s">
        <v>99</v>
      </c>
      <c r="F8" s="8" t="s">
        <v>336</v>
      </c>
      <c r="G8" s="8" t="s">
        <v>337</v>
      </c>
      <c r="H8" s="8"/>
    </row>
    <row r="9" ht="18" customHeight="1" spans="1:7">
      <c r="A9" t="s">
        <v>338</v>
      </c>
      <c r="B9" t="s">
        <v>14</v>
      </c>
      <c r="C9" t="s">
        <v>339</v>
      </c>
      <c r="D9" t="s">
        <v>109</v>
      </c>
      <c r="E9" t="s">
        <v>99</v>
      </c>
      <c r="F9" t="s">
        <v>340</v>
      </c>
      <c r="G9" t="s">
        <v>341</v>
      </c>
    </row>
    <row r="10" ht="18" customHeight="1" spans="1:8">
      <c r="A10" s="8" t="s">
        <v>342</v>
      </c>
      <c r="B10" s="8" t="s">
        <v>9</v>
      </c>
      <c r="C10" s="8" t="s">
        <v>343</v>
      </c>
      <c r="D10" s="8" t="s">
        <v>100</v>
      </c>
      <c r="E10" s="8" t="s">
        <v>99</v>
      </c>
      <c r="F10" s="8" t="s">
        <v>344</v>
      </c>
      <c r="G10" s="8" t="s">
        <v>345</v>
      </c>
      <c r="H10" s="8"/>
    </row>
    <row r="11" ht="18" customHeight="1" spans="1:7">
      <c r="A11" t="s">
        <v>342</v>
      </c>
      <c r="B11" t="s">
        <v>19</v>
      </c>
      <c r="C11" t="s">
        <v>346</v>
      </c>
      <c r="D11" t="s">
        <v>109</v>
      </c>
      <c r="E11" t="s">
        <v>99</v>
      </c>
      <c r="F11" t="s">
        <v>347</v>
      </c>
      <c r="G11" t="s">
        <v>348</v>
      </c>
    </row>
    <row r="12" ht="18" customHeight="1" spans="1:8">
      <c r="A12" s="8" t="s">
        <v>349</v>
      </c>
      <c r="B12" s="8" t="s">
        <v>9</v>
      </c>
      <c r="C12" s="8" t="s">
        <v>350</v>
      </c>
      <c r="D12" s="8" t="s">
        <v>100</v>
      </c>
      <c r="E12" s="8" t="s">
        <v>99</v>
      </c>
      <c r="F12" s="8" t="s">
        <v>351</v>
      </c>
      <c r="G12" s="8" t="s">
        <v>352</v>
      </c>
      <c r="H12" s="8"/>
    </row>
    <row r="13" ht="18" customHeight="1" spans="1:7">
      <c r="A13" t="s">
        <v>353</v>
      </c>
      <c r="B13" t="s">
        <v>24</v>
      </c>
      <c r="C13" t="s">
        <v>354</v>
      </c>
      <c r="D13" t="s">
        <v>117</v>
      </c>
      <c r="E13" t="s">
        <v>120</v>
      </c>
      <c r="F13" t="s">
        <v>355</v>
      </c>
      <c r="G13" t="s">
        <v>356</v>
      </c>
    </row>
    <row r="14" ht="18" customHeight="1" spans="1:8">
      <c r="A14" s="8" t="s">
        <v>357</v>
      </c>
      <c r="B14" s="8" t="s">
        <v>34</v>
      </c>
      <c r="C14" s="8" t="s">
        <v>358</v>
      </c>
      <c r="D14" s="8" t="s">
        <v>117</v>
      </c>
      <c r="E14" s="8" t="s">
        <v>120</v>
      </c>
      <c r="F14" s="8" t="s">
        <v>359</v>
      </c>
      <c r="G14" s="8" t="s">
        <v>360</v>
      </c>
      <c r="H14" s="8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467F"/>
  </sheetPr>
  <dimension ref="A1:F9"/>
  <sheetViews>
    <sheetView workbookViewId="0">
      <selection activeCell="A1" sqref="A1"/>
    </sheetView>
  </sheetViews>
  <sheetFormatPr defaultColWidth="9" defaultRowHeight="15" outlineLevelCol="5"/>
  <cols>
    <col min="1" max="1" width="3" customWidth="1"/>
    <col min="2" max="2" width="13" customWidth="1"/>
    <col min="3" max="3" width="44" customWidth="1"/>
    <col min="4" max="4" width="38" customWidth="1"/>
    <col min="5" max="5" width="36" customWidth="1"/>
    <col min="6" max="6" width="18" customWidth="1"/>
  </cols>
  <sheetData>
    <row r="1" ht="22" customHeight="1" spans="1:6">
      <c r="A1" s="1" t="s">
        <v>361</v>
      </c>
      <c r="B1" s="2"/>
      <c r="C1" s="2"/>
      <c r="D1" s="2"/>
      <c r="E1" s="2"/>
      <c r="F1" s="2"/>
    </row>
    <row r="2" ht="22" customHeight="1" spans="1:6">
      <c r="A2" s="11" t="s">
        <v>362</v>
      </c>
      <c r="B2" s="12"/>
      <c r="C2" s="12"/>
      <c r="D2" s="12"/>
      <c r="E2" s="12"/>
      <c r="F2" s="12"/>
    </row>
    <row r="3" ht="22" customHeight="1" spans="1:6">
      <c r="A3" s="5" t="s">
        <v>363</v>
      </c>
      <c r="B3" s="6"/>
      <c r="C3" s="6"/>
      <c r="D3" s="6"/>
      <c r="E3" s="6"/>
      <c r="F3" s="6"/>
    </row>
    <row r="4" ht="32" customHeight="1" spans="1:6">
      <c r="A4" s="7" t="s">
        <v>3</v>
      </c>
      <c r="B4" s="7" t="s">
        <v>136</v>
      </c>
      <c r="C4" s="7" t="s">
        <v>364</v>
      </c>
      <c r="D4" s="7" t="s">
        <v>89</v>
      </c>
      <c r="E4" s="7" t="s">
        <v>325</v>
      </c>
      <c r="F4" s="7" t="s">
        <v>53</v>
      </c>
    </row>
    <row r="5" ht="18" customHeight="1" spans="1:5">
      <c r="A5" t="s">
        <v>145</v>
      </c>
      <c r="B5" t="s">
        <v>365</v>
      </c>
      <c r="C5" t="s">
        <v>366</v>
      </c>
      <c r="D5" t="s">
        <v>367</v>
      </c>
      <c r="E5" t="s">
        <v>368</v>
      </c>
    </row>
    <row r="6" ht="18" customHeight="1" spans="1:6">
      <c r="A6" s="8" t="s">
        <v>145</v>
      </c>
      <c r="B6" s="8" t="s">
        <v>369</v>
      </c>
      <c r="C6" s="8" t="s">
        <v>370</v>
      </c>
      <c r="D6" s="8" t="s">
        <v>371</v>
      </c>
      <c r="E6" s="8" t="s">
        <v>368</v>
      </c>
      <c r="F6" s="8"/>
    </row>
    <row r="7" ht="18" customHeight="1" spans="1:5">
      <c r="A7" t="s">
        <v>145</v>
      </c>
      <c r="B7" t="s">
        <v>372</v>
      </c>
      <c r="C7" t="s">
        <v>373</v>
      </c>
      <c r="D7" t="s">
        <v>374</v>
      </c>
      <c r="E7" t="s">
        <v>368</v>
      </c>
    </row>
    <row r="8" ht="18" customHeight="1" spans="1:6">
      <c r="A8" s="8" t="s">
        <v>145</v>
      </c>
      <c r="B8" s="8" t="s">
        <v>375</v>
      </c>
      <c r="C8" s="8" t="s">
        <v>376</v>
      </c>
      <c r="D8" s="8" t="s">
        <v>377</v>
      </c>
      <c r="E8" s="8" t="s">
        <v>368</v>
      </c>
      <c r="F8" s="8"/>
    </row>
    <row r="9" ht="18" customHeight="1" spans="1:5">
      <c r="A9" t="s">
        <v>145</v>
      </c>
      <c r="B9" t="s">
        <v>378</v>
      </c>
      <c r="C9" t="s">
        <v>379</v>
      </c>
      <c r="D9" t="s">
        <v>380</v>
      </c>
      <c r="E9" t="s">
        <v>368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107"/>
  </sheetPr>
  <dimension ref="A1:G11"/>
  <sheetViews>
    <sheetView workbookViewId="0">
      <selection activeCell="A1" sqref="A1"/>
    </sheetView>
  </sheetViews>
  <sheetFormatPr defaultColWidth="9" defaultRowHeight="15" outlineLevelCol="6"/>
  <cols>
    <col min="1" max="1" width="3" customWidth="1"/>
    <col min="2" max="2" width="30" customWidth="1"/>
    <col min="3" max="3" width="18" customWidth="1"/>
    <col min="4" max="4" width="12" customWidth="1"/>
    <col min="5" max="5" width="16" customWidth="1"/>
    <col min="6" max="6" width="18" customWidth="1"/>
    <col min="7" max="7" width="32" customWidth="1"/>
  </cols>
  <sheetData>
    <row r="1" ht="22" customHeight="1" spans="1:7">
      <c r="A1" s="1" t="s">
        <v>381</v>
      </c>
      <c r="B1" s="2"/>
      <c r="C1" s="2"/>
      <c r="D1" s="2"/>
      <c r="E1" s="2"/>
      <c r="F1" s="2"/>
      <c r="G1" s="2"/>
    </row>
    <row r="2" ht="22" customHeight="1" spans="1:7">
      <c r="A2" s="9" t="s">
        <v>382</v>
      </c>
      <c r="B2" s="10"/>
      <c r="C2" s="10"/>
      <c r="D2" s="10"/>
      <c r="E2" s="10"/>
      <c r="F2" s="10"/>
      <c r="G2" s="10"/>
    </row>
    <row r="3" ht="22" customHeight="1" spans="1:7">
      <c r="A3" s="5" t="s">
        <v>383</v>
      </c>
      <c r="B3" s="6"/>
      <c r="C3" s="6"/>
      <c r="D3" s="6"/>
      <c r="E3" s="6"/>
      <c r="F3" s="6"/>
      <c r="G3" s="6"/>
    </row>
    <row r="4" ht="32" customHeight="1" spans="1:7">
      <c r="A4" s="7" t="s">
        <v>3</v>
      </c>
      <c r="B4" s="7" t="s">
        <v>384</v>
      </c>
      <c r="C4" s="7" t="s">
        <v>50</v>
      </c>
      <c r="D4" s="7" t="s">
        <v>385</v>
      </c>
      <c r="E4" s="7" t="s">
        <v>53</v>
      </c>
      <c r="F4" s="7" t="s">
        <v>386</v>
      </c>
      <c r="G4" s="7" t="s">
        <v>55</v>
      </c>
    </row>
    <row r="5" ht="18" customHeight="1" spans="1:6">
      <c r="A5" t="s">
        <v>387</v>
      </c>
      <c r="B5" t="s">
        <v>9</v>
      </c>
      <c r="C5" t="s">
        <v>201</v>
      </c>
      <c r="D5" t="s">
        <v>297</v>
      </c>
      <c r="E5" t="s">
        <v>121</v>
      </c>
      <c r="F5" t="s">
        <v>388</v>
      </c>
    </row>
    <row r="6" ht="18" customHeight="1" spans="1:7">
      <c r="A6" s="8" t="s">
        <v>389</v>
      </c>
      <c r="B6" s="8" t="s">
        <v>9</v>
      </c>
      <c r="C6" s="8" t="s">
        <v>201</v>
      </c>
      <c r="D6" s="8" t="s">
        <v>297</v>
      </c>
      <c r="E6" s="8" t="s">
        <v>121</v>
      </c>
      <c r="F6" s="8" t="s">
        <v>390</v>
      </c>
      <c r="G6" s="8"/>
    </row>
    <row r="7" ht="18" customHeight="1" spans="1:6">
      <c r="A7" t="s">
        <v>391</v>
      </c>
      <c r="B7" t="s">
        <v>34</v>
      </c>
      <c r="C7" t="s">
        <v>195</v>
      </c>
      <c r="D7" t="s">
        <v>297</v>
      </c>
      <c r="E7" t="s">
        <v>126</v>
      </c>
      <c r="F7" t="s">
        <v>392</v>
      </c>
    </row>
    <row r="8" ht="18" customHeight="1" spans="1:7">
      <c r="A8" s="8" t="s">
        <v>393</v>
      </c>
      <c r="B8" s="8" t="s">
        <v>24</v>
      </c>
      <c r="C8" s="8" t="s">
        <v>394</v>
      </c>
      <c r="D8" s="8" t="s">
        <v>395</v>
      </c>
      <c r="E8" s="8" t="s">
        <v>396</v>
      </c>
      <c r="F8" s="8" t="s">
        <v>397</v>
      </c>
      <c r="G8" s="8"/>
    </row>
    <row r="9" ht="18" customHeight="1" spans="1:6">
      <c r="A9" t="s">
        <v>398</v>
      </c>
      <c r="B9" t="s">
        <v>29</v>
      </c>
      <c r="C9" t="s">
        <v>195</v>
      </c>
      <c r="D9" t="s">
        <v>297</v>
      </c>
      <c r="E9" t="s">
        <v>126</v>
      </c>
      <c r="F9" t="s">
        <v>399</v>
      </c>
    </row>
    <row r="10" ht="18" customHeight="1" spans="1:7">
      <c r="A10" s="8" t="s">
        <v>400</v>
      </c>
      <c r="B10" s="8" t="s">
        <v>9</v>
      </c>
      <c r="C10" s="8" t="s">
        <v>201</v>
      </c>
      <c r="D10" s="8" t="s">
        <v>395</v>
      </c>
      <c r="E10" s="8" t="s">
        <v>121</v>
      </c>
      <c r="F10" s="8" t="s">
        <v>401</v>
      </c>
      <c r="G10" s="8"/>
    </row>
    <row r="11" ht="18" customHeight="1" spans="1:6">
      <c r="A11" t="s">
        <v>402</v>
      </c>
      <c r="B11" t="s">
        <v>34</v>
      </c>
      <c r="C11" t="s">
        <v>201</v>
      </c>
      <c r="D11" t="s">
        <v>395</v>
      </c>
      <c r="E11" t="s">
        <v>126</v>
      </c>
      <c r="F11" t="s">
        <v>403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9664"/>
  </sheetPr>
  <dimension ref="A1:G14"/>
  <sheetViews>
    <sheetView workbookViewId="0">
      <selection activeCell="A1" sqref="A1"/>
    </sheetView>
  </sheetViews>
  <sheetFormatPr defaultColWidth="9" defaultRowHeight="15" outlineLevelCol="6"/>
  <cols>
    <col min="1" max="1" width="3" customWidth="1"/>
    <col min="2" max="2" width="13" customWidth="1"/>
    <col min="3" max="3" width="18" customWidth="1"/>
    <col min="4" max="4" width="32" customWidth="1"/>
    <col min="5" max="5" width="28" customWidth="1"/>
    <col min="6" max="6" width="22" customWidth="1"/>
    <col min="7" max="7" width="28" customWidth="1"/>
  </cols>
  <sheetData>
    <row r="1" ht="22" customHeight="1" spans="1:7">
      <c r="A1" s="1" t="s">
        <v>404</v>
      </c>
      <c r="B1" s="2"/>
      <c r="C1" s="2"/>
      <c r="D1" s="2"/>
      <c r="E1" s="2"/>
      <c r="F1" s="2"/>
      <c r="G1" s="2"/>
    </row>
    <row r="2" ht="22" customHeight="1" spans="1:7">
      <c r="A2" s="3" t="s">
        <v>405</v>
      </c>
      <c r="B2" s="4"/>
      <c r="C2" s="4"/>
      <c r="D2" s="4"/>
      <c r="E2" s="4"/>
      <c r="F2" s="4"/>
      <c r="G2" s="4"/>
    </row>
    <row r="3" ht="22" customHeight="1" spans="1:7">
      <c r="A3" s="5" t="s">
        <v>406</v>
      </c>
      <c r="B3" s="6"/>
      <c r="C3" s="6"/>
      <c r="D3" s="6"/>
      <c r="E3" s="6"/>
      <c r="F3" s="6"/>
      <c r="G3" s="6"/>
    </row>
    <row r="4" ht="32" customHeight="1" spans="1:7">
      <c r="A4" s="7" t="s">
        <v>3</v>
      </c>
      <c r="B4" s="7" t="s">
        <v>136</v>
      </c>
      <c r="C4" s="7" t="s">
        <v>407</v>
      </c>
      <c r="D4" s="7" t="s">
        <v>408</v>
      </c>
      <c r="E4" s="7" t="s">
        <v>409</v>
      </c>
      <c r="F4" s="7" t="s">
        <v>410</v>
      </c>
      <c r="G4" s="7" t="s">
        <v>411</v>
      </c>
    </row>
    <row r="5" ht="18" customHeight="1" spans="1:6">
      <c r="A5" t="s">
        <v>96</v>
      </c>
      <c r="B5" t="s">
        <v>412</v>
      </c>
      <c r="C5" t="s">
        <v>413</v>
      </c>
      <c r="D5" t="s">
        <v>414</v>
      </c>
      <c r="E5" t="s">
        <v>415</v>
      </c>
      <c r="F5" t="s">
        <v>416</v>
      </c>
    </row>
    <row r="6" ht="18" customHeight="1" spans="1:7">
      <c r="A6" s="8" t="s">
        <v>96</v>
      </c>
      <c r="B6" s="8" t="s">
        <v>417</v>
      </c>
      <c r="C6" s="8" t="s">
        <v>418</v>
      </c>
      <c r="D6" s="8" t="s">
        <v>419</v>
      </c>
      <c r="E6" s="8" t="s">
        <v>420</v>
      </c>
      <c r="F6" s="8" t="s">
        <v>421</v>
      </c>
      <c r="G6" s="8"/>
    </row>
    <row r="7" ht="18" customHeight="1" spans="1:6">
      <c r="A7" t="s">
        <v>96</v>
      </c>
      <c r="B7" t="s">
        <v>422</v>
      </c>
      <c r="C7" t="s">
        <v>423</v>
      </c>
      <c r="D7" t="s">
        <v>424</v>
      </c>
      <c r="E7" t="s">
        <v>425</v>
      </c>
      <c r="F7" t="s">
        <v>426</v>
      </c>
    </row>
    <row r="8" ht="18" customHeight="1" spans="1:7">
      <c r="A8" s="8" t="s">
        <v>96</v>
      </c>
      <c r="B8" s="8" t="s">
        <v>427</v>
      </c>
      <c r="C8" s="8" t="s">
        <v>428</v>
      </c>
      <c r="D8" s="8" t="s">
        <v>429</v>
      </c>
      <c r="E8" s="8" t="s">
        <v>430</v>
      </c>
      <c r="F8" s="8" t="s">
        <v>431</v>
      </c>
      <c r="G8" s="8"/>
    </row>
    <row r="9" ht="18" customHeight="1" spans="1:6">
      <c r="A9" t="s">
        <v>96</v>
      </c>
      <c r="B9" t="s">
        <v>432</v>
      </c>
      <c r="C9" t="s">
        <v>433</v>
      </c>
      <c r="D9" t="s">
        <v>434</v>
      </c>
      <c r="E9" t="s">
        <v>435</v>
      </c>
      <c r="F9" t="s">
        <v>436</v>
      </c>
    </row>
    <row r="10" ht="18" customHeight="1" spans="1:7">
      <c r="A10" s="8" t="s">
        <v>96</v>
      </c>
      <c r="B10" s="8" t="s">
        <v>437</v>
      </c>
      <c r="C10" s="8" t="s">
        <v>438</v>
      </c>
      <c r="D10" s="8" t="s">
        <v>439</v>
      </c>
      <c r="E10" s="8" t="s">
        <v>440</v>
      </c>
      <c r="F10" s="8" t="s">
        <v>441</v>
      </c>
      <c r="G10" s="8"/>
    </row>
    <row r="11" ht="18" customHeight="1" spans="1:6">
      <c r="A11" t="s">
        <v>99</v>
      </c>
      <c r="B11" t="s">
        <v>442</v>
      </c>
      <c r="C11" t="s">
        <v>443</v>
      </c>
      <c r="D11" t="s">
        <v>444</v>
      </c>
      <c r="E11" t="s">
        <v>445</v>
      </c>
      <c r="F11" t="s">
        <v>446</v>
      </c>
    </row>
    <row r="12" ht="18" customHeight="1" spans="1:7">
      <c r="A12" s="8" t="s">
        <v>99</v>
      </c>
      <c r="B12" s="8" t="s">
        <v>447</v>
      </c>
      <c r="C12" s="8" t="s">
        <v>448</v>
      </c>
      <c r="D12" s="8" t="s">
        <v>449</v>
      </c>
      <c r="E12" s="8" t="s">
        <v>450</v>
      </c>
      <c r="F12" s="8" t="s">
        <v>451</v>
      </c>
      <c r="G12" s="8"/>
    </row>
    <row r="13" ht="18" customHeight="1" spans="1:6">
      <c r="A13" t="s">
        <v>99</v>
      </c>
      <c r="B13" t="s">
        <v>452</v>
      </c>
      <c r="C13" t="s">
        <v>453</v>
      </c>
      <c r="D13" t="s">
        <v>454</v>
      </c>
      <c r="E13" t="s">
        <v>455</v>
      </c>
      <c r="F13" t="s">
        <v>456</v>
      </c>
    </row>
    <row r="14" ht="18" customHeight="1" spans="1:7">
      <c r="A14" s="8" t="s">
        <v>99</v>
      </c>
      <c r="B14" s="8" t="s">
        <v>457</v>
      </c>
      <c r="C14" s="8" t="s">
        <v>458</v>
      </c>
      <c r="D14" s="8" t="s">
        <v>459</v>
      </c>
      <c r="E14" s="8" t="s">
        <v>460</v>
      </c>
      <c r="F14" s="8" t="s">
        <v>461</v>
      </c>
      <c r="G14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01_PANEL_GENERAL</vt:lpstr>
      <vt:lpstr>02_EMPRESAS_Y_PROYECTOS</vt:lpstr>
      <vt:lpstr>03_PRIORIDADES</vt:lpstr>
      <vt:lpstr>04_FINANZAS</vt:lpstr>
      <vt:lpstr>05_VENTAS</vt:lpstr>
      <vt:lpstr>06_CLIENTES</vt:lpstr>
      <vt:lpstr>07_PRODUCTOS_SERVICIOS</vt:lpstr>
      <vt:lpstr>08_ARCHIVOS_Y_CARPETAS</vt:lpstr>
      <vt:lpstr>09_TAREAS</vt:lpstr>
      <vt:lpstr>10_DECISIONES</vt:lpstr>
      <vt:lpstr>11_IDEAS_FUTURAS</vt:lpstr>
      <vt:lpstr>12_APRENDIZAJE_IA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 Francks</cp:lastModifiedBy>
  <dcterms:created xsi:type="dcterms:W3CDTF">2026-06-22T16:50:36Z</dcterms:created>
  <dcterms:modified xsi:type="dcterms:W3CDTF">2026-06-22T17:10:20Z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4DBCEE5C1EB34A9FAC79E7238247DE46_12</vt:lpwstr>
  </property>
  <property fmtid="{D5CDD505-2E9C-101B-9397-08002B2CF9AE}" pid="3" name="KSOProductBuildVer">
    <vt:lpwstr>3082-12.2.0.22549</vt:lpwstr>
  </property>
</Properties>
</file>